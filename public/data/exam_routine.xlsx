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-wise" sheetId="1" r:id="rId5"/>
    <sheet state="visible" name="faculty-wise" sheetId="2" r:id="rId6"/>
  </sheets>
  <definedNames>
    <definedName hidden="1" localSheetId="0" name="_xlnm._FilterDatabase">'slot-wise'!$A$1:$I$466</definedName>
    <definedName hidden="1" localSheetId="1" name="_xlnm._FilterDatabase">'faculty-wise'!$A$1:$I$466</definedName>
  </definedNames>
  <calcPr/>
</workbook>
</file>

<file path=xl/sharedStrings.xml><?xml version="1.0" encoding="utf-8"?>
<sst xmlns="http://schemas.openxmlformats.org/spreadsheetml/2006/main" count="2808" uniqueCount="758">
  <si>
    <t>Program</t>
  </si>
  <si>
    <t xml:space="preserve">Slot </t>
  </si>
  <si>
    <t>Date</t>
  </si>
  <si>
    <t>Start Time</t>
  </si>
  <si>
    <t>End Time</t>
  </si>
  <si>
    <t>Course Code</t>
  </si>
  <si>
    <t>Course Title</t>
  </si>
  <si>
    <t>Students</t>
  </si>
  <si>
    <t>Faculty</t>
  </si>
  <si>
    <t>C</t>
  </si>
  <si>
    <t>Slot - 01</t>
  </si>
  <si>
    <t>12.04.2026</t>
  </si>
  <si>
    <t>CSE3035.1</t>
  </si>
  <si>
    <t>Information System Design &amp; Software Engineering</t>
  </si>
  <si>
    <t>[AVIC] Avishek Chakraborty</t>
  </si>
  <si>
    <t>CSE345.9</t>
  </si>
  <si>
    <t>CSE345.10</t>
  </si>
  <si>
    <t>CSE383.5</t>
  </si>
  <si>
    <t>Database Design</t>
  </si>
  <si>
    <t>[HUMA] Humira Bentay Mahmud</t>
  </si>
  <si>
    <t>CSE383.6</t>
  </si>
  <si>
    <t>[NOHO] Noholi Islam Duti</t>
  </si>
  <si>
    <t>CSE383.7</t>
  </si>
  <si>
    <t>CSE383.8</t>
  </si>
  <si>
    <t>MAT1103.4</t>
  </si>
  <si>
    <t>Differential &amp; Integral Calculus</t>
  </si>
  <si>
    <t>[MALN] Md Alamin</t>
  </si>
  <si>
    <t>MAT1103.8</t>
  </si>
  <si>
    <t>MAT1103.10</t>
  </si>
  <si>
    <t>STA281.1</t>
  </si>
  <si>
    <t>Statistical Methods &amp; Probability</t>
  </si>
  <si>
    <t>[MAKR] Dr. Mohammed Ashikur Rahman</t>
  </si>
  <si>
    <t>STA281.2</t>
  </si>
  <si>
    <t>STA281.3</t>
  </si>
  <si>
    <t>[MAHB] Mahbub Hasan</t>
  </si>
  <si>
    <t>STA281.4</t>
  </si>
  <si>
    <t>STA281.5</t>
  </si>
  <si>
    <t>[MUKH] Muhaimen Khan</t>
  </si>
  <si>
    <t>STA281.6</t>
  </si>
  <si>
    <t>STA281.7</t>
  </si>
  <si>
    <t>Slot - 02</t>
  </si>
  <si>
    <t>CSE241.6</t>
  </si>
  <si>
    <t>Data Structures</t>
  </si>
  <si>
    <t>[MAQ] Mohammad Ariful Huq</t>
  </si>
  <si>
    <t>CSE263.10</t>
  </si>
  <si>
    <t>Digital Logic Design</t>
  </si>
  <si>
    <t>[SOY] Somonindro Roy</t>
  </si>
  <si>
    <t>CSE263.11</t>
  </si>
  <si>
    <t>CSE345.5</t>
  </si>
  <si>
    <t>[ANMM] A N M Zahid Hossain Milkan</t>
  </si>
  <si>
    <t>CSE345.6</t>
  </si>
  <si>
    <t>CSE345.8</t>
  </si>
  <si>
    <t>[MABH] Mahdi Bhuiyan</t>
  </si>
  <si>
    <t>CSE383.9</t>
  </si>
  <si>
    <t>[MISK] Misbahul Sheikh</t>
  </si>
  <si>
    <t>CSE383.10</t>
  </si>
  <si>
    <t>CSE471.3</t>
  </si>
  <si>
    <t>Web and Internet Programming</t>
  </si>
  <si>
    <t>[ANMS] Anik Mahmud Shanto</t>
  </si>
  <si>
    <t>EEE1101.3</t>
  </si>
  <si>
    <t>Electrical Circuits I</t>
  </si>
  <si>
    <t>[DLH] Dr. Mohammad Lutful Hakim</t>
  </si>
  <si>
    <t>EEE181.5</t>
  </si>
  <si>
    <t>Electrical Circuits Design I</t>
  </si>
  <si>
    <t>[MDHB] Mahdin Mahboob</t>
  </si>
  <si>
    <t>EEE181.6</t>
  </si>
  <si>
    <t>EEE181.7</t>
  </si>
  <si>
    <t>EEE181.8</t>
  </si>
  <si>
    <t>EEE181.9</t>
  </si>
  <si>
    <t>MAT1103.2</t>
  </si>
  <si>
    <t>[SHR] Md. Sarowar Hossain Rana</t>
  </si>
  <si>
    <t>MAT1103.3</t>
  </si>
  <si>
    <t>Slot - 03</t>
  </si>
  <si>
    <t>CSE345.1</t>
  </si>
  <si>
    <t>[SDK] Shimul Dey Katha</t>
  </si>
  <si>
    <t>CSE345.2</t>
  </si>
  <si>
    <t>CSE471.1</t>
  </si>
  <si>
    <t>[ABAH] Abid Ahmad</t>
  </si>
  <si>
    <t>CSE471.2</t>
  </si>
  <si>
    <t>[LHD] Al Hasib Mahamud</t>
  </si>
  <si>
    <t>CSE475.1</t>
  </si>
  <si>
    <t>Management Information System</t>
  </si>
  <si>
    <t>[MDSR] Mohammad Shohel Rana</t>
  </si>
  <si>
    <t>CSE475.2</t>
  </si>
  <si>
    <t>ECO461.9</t>
  </si>
  <si>
    <t>Introduction to Economics</t>
  </si>
  <si>
    <t>[UMHB] Umme Habiba</t>
  </si>
  <si>
    <t>PHY181.11</t>
  </si>
  <si>
    <t>Physics II</t>
  </si>
  <si>
    <t>[DMAJ] Dr. Mohammad Majidur Rahman</t>
  </si>
  <si>
    <t>SOC341.11</t>
  </si>
  <si>
    <t>Engineering Ethics</t>
  </si>
  <si>
    <t>STA281.8</t>
  </si>
  <si>
    <t>[SAMD] Shifat Ahmed</t>
  </si>
  <si>
    <t>STA281.9</t>
  </si>
  <si>
    <t>STA281.10</t>
  </si>
  <si>
    <t>[SBB] Md. Shohel Babu</t>
  </si>
  <si>
    <t>STA281.11</t>
  </si>
  <si>
    <t>Slot - 04</t>
  </si>
  <si>
    <t>13.04.2026</t>
  </si>
  <si>
    <t>CSE281.8</t>
  </si>
  <si>
    <t>Introduction to Programming Language II (Java)</t>
  </si>
  <si>
    <t>CSE281.9</t>
  </si>
  <si>
    <t>CSE353.3</t>
  </si>
  <si>
    <t>Introduction to Data Mining</t>
  </si>
  <si>
    <t>[SHM] Md. Shamim</t>
  </si>
  <si>
    <t>CSE359.4</t>
  </si>
  <si>
    <t>Graph Theory</t>
  </si>
  <si>
    <t>[PK] Proloy Karmakar</t>
  </si>
  <si>
    <t>CSE359.5</t>
  </si>
  <si>
    <t>CSE359.6</t>
  </si>
  <si>
    <t>ECO461.1</t>
  </si>
  <si>
    <t>[PRB] Prianka Basak</t>
  </si>
  <si>
    <t>ECO461.2</t>
  </si>
  <si>
    <t>ELL1303.1</t>
  </si>
  <si>
    <t>Advanced English Skills</t>
  </si>
  <si>
    <t>[SAIS] Sadia Islam</t>
  </si>
  <si>
    <t>ELL1303.2</t>
  </si>
  <si>
    <t>[RUI] Rukhsana Islam</t>
  </si>
  <si>
    <t>ELL1303.3</t>
  </si>
  <si>
    <t>ELL1303.4</t>
  </si>
  <si>
    <t>[TSH] Shuhrat Tishi</t>
  </si>
  <si>
    <t>ELL1303.5</t>
  </si>
  <si>
    <t>[JFA] Jannatul Ferdous Anan</t>
  </si>
  <si>
    <t>ELL1303.6</t>
  </si>
  <si>
    <t>ELL1303.7</t>
  </si>
  <si>
    <t>[ASM] Anika Shormily Meem</t>
  </si>
  <si>
    <t>ELL1303.8</t>
  </si>
  <si>
    <t>ELL1303.9</t>
  </si>
  <si>
    <t>[MHTL] Mehedi Hassan Talukder</t>
  </si>
  <si>
    <t>ELL1303.10</t>
  </si>
  <si>
    <t>ENG103.39</t>
  </si>
  <si>
    <t>Slot - 05</t>
  </si>
  <si>
    <t>CSE2015.1</t>
  </si>
  <si>
    <t>Programming Language II(Java)</t>
  </si>
  <si>
    <t>[MDAY] Md. Ayon Mia</t>
  </si>
  <si>
    <t>CSE241.3</t>
  </si>
  <si>
    <t>[MHB] Md. Habibullah Belali</t>
  </si>
  <si>
    <t>CSE241.4</t>
  </si>
  <si>
    <t>CSE241.5</t>
  </si>
  <si>
    <t>CSE265.6</t>
  </si>
  <si>
    <t>Algorithm</t>
  </si>
  <si>
    <t>CSE265.7</t>
  </si>
  <si>
    <t>CSE281.3</t>
  </si>
  <si>
    <t>CSE281.4</t>
  </si>
  <si>
    <t>CSE441.1</t>
  </si>
  <si>
    <t>Theory of Computing</t>
  </si>
  <si>
    <t>[FBH] Md. Ferdous Bin Hafiz</t>
  </si>
  <si>
    <t>CSE441.2</t>
  </si>
  <si>
    <t>ENG102.25</t>
  </si>
  <si>
    <t>Intermediate English Skills</t>
  </si>
  <si>
    <t>[YAF] Yasif Ahmed Faysal</t>
  </si>
  <si>
    <t>ENG102.26</t>
  </si>
  <si>
    <t>ENG102.27</t>
  </si>
  <si>
    <t>ENG102.28</t>
  </si>
  <si>
    <t>ENG102.29</t>
  </si>
  <si>
    <t>ENG102.30</t>
  </si>
  <si>
    <t>ENG102.31</t>
  </si>
  <si>
    <t>[DAFN] Dewan Abul Fatah Naeem</t>
  </si>
  <si>
    <t>ENG102.32</t>
  </si>
  <si>
    <t>ENG102.33</t>
  </si>
  <si>
    <t>Slot - 06</t>
  </si>
  <si>
    <t>CSE2021.1</t>
  </si>
  <si>
    <t>CSE265.4</t>
  </si>
  <si>
    <t>CSE265.5</t>
  </si>
  <si>
    <t>CSE265.9</t>
  </si>
  <si>
    <t>[AMH] Md. Asiful Islam Miah</t>
  </si>
  <si>
    <t>CSE359.1</t>
  </si>
  <si>
    <t>[NALE] Nishat Anjum Lea</t>
  </si>
  <si>
    <t>CSE359.2</t>
  </si>
  <si>
    <t>CSE359.3</t>
  </si>
  <si>
    <t>CSE479.1</t>
  </si>
  <si>
    <t>Cryptography &amp; Network Security</t>
  </si>
  <si>
    <t>[DMHN] Dr. Md. Maruf Hassan</t>
  </si>
  <si>
    <t>CSE479.2</t>
  </si>
  <si>
    <t>ENG103.31</t>
  </si>
  <si>
    <t>ENG103.32</t>
  </si>
  <si>
    <t>[TZH] Dr. Md Zakir Hossain Talukder</t>
  </si>
  <si>
    <t>ENG103.33</t>
  </si>
  <si>
    <t>ENG103.34</t>
  </si>
  <si>
    <t>[SABK] Sabiha Anjum Koli</t>
  </si>
  <si>
    <t>ENG103.35</t>
  </si>
  <si>
    <t>[TAH] Tanjila Hossen</t>
  </si>
  <si>
    <t>ENG103.36</t>
  </si>
  <si>
    <t>ENG103.37</t>
  </si>
  <si>
    <t>[MSS] Surya Akhter Sumona</t>
  </si>
  <si>
    <t>ENG103.38</t>
  </si>
  <si>
    <t>ENG103.40</t>
  </si>
  <si>
    <t>[MFR] Md. Fozle Rabbi</t>
  </si>
  <si>
    <t>ENG103.41</t>
  </si>
  <si>
    <t>Slot - 07</t>
  </si>
  <si>
    <t>15.04.2026</t>
  </si>
  <si>
    <t>ACT141.1</t>
  </si>
  <si>
    <t>Introduction to Accounting</t>
  </si>
  <si>
    <t>[TBK] Tasnim Binte Kabir</t>
  </si>
  <si>
    <t>CSE181.1</t>
  </si>
  <si>
    <t>Discrete Mathematics</t>
  </si>
  <si>
    <t>[SMA] Sakib Mahmud</t>
  </si>
  <si>
    <t>CSE345.3</t>
  </si>
  <si>
    <t>[MEAH] Mehedi Ahamed</t>
  </si>
  <si>
    <t>CSE345.4</t>
  </si>
  <si>
    <t>ECO461.3</t>
  </si>
  <si>
    <t>[DMRS] Dr. Md. Mizanur Rahman Sarker</t>
  </si>
  <si>
    <t>ECO461.4</t>
  </si>
  <si>
    <t>ECO461.7</t>
  </si>
  <si>
    <t>[TAFA] Tasnova Farheem</t>
  </si>
  <si>
    <t>GED1111.1</t>
  </si>
  <si>
    <t>Principles of Accounting</t>
  </si>
  <si>
    <t>[FZC] Dr. Faieza Chowdhury</t>
  </si>
  <si>
    <t>GED1111.5</t>
  </si>
  <si>
    <t>GED1111.8</t>
  </si>
  <si>
    <t>PHY161.3</t>
  </si>
  <si>
    <t>Physics I</t>
  </si>
  <si>
    <t>[DMMA] Dr. Md. Murad Ahmed</t>
  </si>
  <si>
    <t>PHY161.4</t>
  </si>
  <si>
    <t>PHY161.9</t>
  </si>
  <si>
    <t>PHY181.9</t>
  </si>
  <si>
    <t>[KDS] Kanta Das</t>
  </si>
  <si>
    <t>Slot - 08</t>
  </si>
  <si>
    <t>CSE261.3</t>
  </si>
  <si>
    <t>Numerical Methods</t>
  </si>
  <si>
    <t>[NI] Md. Nazrul Islam</t>
  </si>
  <si>
    <t>CSE261.4</t>
  </si>
  <si>
    <t>CSE261.5</t>
  </si>
  <si>
    <t>[MIF] Miftahul Sheikh</t>
  </si>
  <si>
    <t>CSE261.6</t>
  </si>
  <si>
    <t>CSE261.9</t>
  </si>
  <si>
    <t>[MRAI] Md. Rashedul Islam</t>
  </si>
  <si>
    <t>CSE261.10</t>
  </si>
  <si>
    <t>[KHAN] Shahriar Khan</t>
  </si>
  <si>
    <t>CSE261.11</t>
  </si>
  <si>
    <t>CSE361.3</t>
  </si>
  <si>
    <t>Operating Systems</t>
  </si>
  <si>
    <t>[SHKU] Shujoy Kundu</t>
  </si>
  <si>
    <t>CSE361.4</t>
  </si>
  <si>
    <t>CSE363.4</t>
  </si>
  <si>
    <t>Microprocessor Design &amp; Assembly Language Programming</t>
  </si>
  <si>
    <t>[BIN] Farsha Bindu</t>
  </si>
  <si>
    <t>CSE363.5</t>
  </si>
  <si>
    <t>GED1111.6</t>
  </si>
  <si>
    <t>[RBH] Ramisha Binty Hasan</t>
  </si>
  <si>
    <t>GED1111.7</t>
  </si>
  <si>
    <t>MAT1103.9</t>
  </si>
  <si>
    <t>[MAR] Md. Anowar Hossain</t>
  </si>
  <si>
    <t>Slot - 09</t>
  </si>
  <si>
    <t>ACT141.2</t>
  </si>
  <si>
    <t>CSE263.13</t>
  </si>
  <si>
    <t>[MDSM] Md. Shanian Moed</t>
  </si>
  <si>
    <t>CSE281.10</t>
  </si>
  <si>
    <t>[MRZ] Md. Miraz Hossain</t>
  </si>
  <si>
    <t>CSE341.1</t>
  </si>
  <si>
    <t>Computer Networking</t>
  </si>
  <si>
    <t>[AHQ] Mohammad Ashraful Hoque</t>
  </si>
  <si>
    <t>CSE341.2</t>
  </si>
  <si>
    <t>CSE353.5</t>
  </si>
  <si>
    <t>CSE383.4</t>
  </si>
  <si>
    <t>[MHSU] Mahjabin Sultana</t>
  </si>
  <si>
    <t>ENG105.19</t>
  </si>
  <si>
    <t>Public Speaking</t>
  </si>
  <si>
    <t>[APZ] Anwar Parvez</t>
  </si>
  <si>
    <t>ENG105.20</t>
  </si>
  <si>
    <t>ENG105.21</t>
  </si>
  <si>
    <t>[NCD] Nahin Chowdhury</t>
  </si>
  <si>
    <t>ENG105.22</t>
  </si>
  <si>
    <t>[DSK] Dr. Mst. Shahanaz Khanam</t>
  </si>
  <si>
    <t>ENG105.23</t>
  </si>
  <si>
    <t>ENG105.24</t>
  </si>
  <si>
    <t>ENG105.25</t>
  </si>
  <si>
    <t>ENG105.26</t>
  </si>
  <si>
    <t>PHY1103.5</t>
  </si>
  <si>
    <t>[AHR] Dr. Abul Hasnat Rubel</t>
  </si>
  <si>
    <t>PHY1103.6</t>
  </si>
  <si>
    <t>Slot - 10</t>
  </si>
  <si>
    <t>16.04.2026</t>
  </si>
  <si>
    <t>CSE161.1</t>
  </si>
  <si>
    <t>Programming Language I</t>
  </si>
  <si>
    <t>[SM] Shahriar Manzoor</t>
  </si>
  <si>
    <t>CSE161.2</t>
  </si>
  <si>
    <t>CSE265.8</t>
  </si>
  <si>
    <t>[RFD] Rifat Ahommed</t>
  </si>
  <si>
    <t>CSE265.10</t>
  </si>
  <si>
    <t>[NKY] Nafisa Khan Youkee</t>
  </si>
  <si>
    <t>CSE265.11</t>
  </si>
  <si>
    <t>CSE281.5</t>
  </si>
  <si>
    <t>[MSZA] Md. Safwan Zaher Asif</t>
  </si>
  <si>
    <t>CSE281.6</t>
  </si>
  <si>
    <t>CSE281.7</t>
  </si>
  <si>
    <t>[NOOR] Asaduzzaman Noor</t>
  </si>
  <si>
    <t>CSE383.3</t>
  </si>
  <si>
    <t>[NON] Noman Amin</t>
  </si>
  <si>
    <t>CSE4035.1</t>
  </si>
  <si>
    <t>Software Development and Project Management</t>
  </si>
  <si>
    <t>[DRAS] Dr. Rakib Ahmed Saleh</t>
  </si>
  <si>
    <t>CSE473.1</t>
  </si>
  <si>
    <t>CSE473.2</t>
  </si>
  <si>
    <t>GED1111.2</t>
  </si>
  <si>
    <t>[JNS] Jannatul Naim Sweety</t>
  </si>
  <si>
    <t>GED1111.3</t>
  </si>
  <si>
    <t>[FARA] Farhana Akter</t>
  </si>
  <si>
    <t>GED1111.4</t>
  </si>
  <si>
    <t>MGT281.1</t>
  </si>
  <si>
    <t>Introduction to Business &amp; Management</t>
  </si>
  <si>
    <t>[MASA] Md. Ashraful Alam</t>
  </si>
  <si>
    <t>Slot - 11</t>
  </si>
  <si>
    <t>ACT141.3</t>
  </si>
  <si>
    <t>[MAC] Mohammad Ahsan Chowdhury</t>
  </si>
  <si>
    <t>ACT141.4</t>
  </si>
  <si>
    <t>CSE343.1</t>
  </si>
  <si>
    <t>Computer Architecture</t>
  </si>
  <si>
    <t>[GZI] Dr. Gazi Zahirul Islam</t>
  </si>
  <si>
    <t>CSE343.2</t>
  </si>
  <si>
    <t>CSE343.3</t>
  </si>
  <si>
    <t>CSE343.4</t>
  </si>
  <si>
    <t>CSE343.5</t>
  </si>
  <si>
    <t>CSE355.3</t>
  </si>
  <si>
    <t>Image Processing</t>
  </si>
  <si>
    <t>[JAR] Mst. Jesiara Khatun</t>
  </si>
  <si>
    <t>CSE365.1</t>
  </si>
  <si>
    <t>Artificial Intelligence</t>
  </si>
  <si>
    <t>[DEMF] Prof. Dr. Dewan Md. Farid</t>
  </si>
  <si>
    <t>CSE365.2</t>
  </si>
  <si>
    <t>CSE365.3</t>
  </si>
  <si>
    <t>PHY1103.7</t>
  </si>
  <si>
    <t>[DAM] Dr. Abdulla Al Momin</t>
  </si>
  <si>
    <t>PHY1103.9</t>
  </si>
  <si>
    <t>Slot - 12</t>
  </si>
  <si>
    <t>CSE343.6</t>
  </si>
  <si>
    <t>[SHAP] Shahriar Parvej</t>
  </si>
  <si>
    <t>CSE343.7</t>
  </si>
  <si>
    <t>CSE441.3</t>
  </si>
  <si>
    <t>[MMRF] Md. Mushfiqur Rahman Fakir</t>
  </si>
  <si>
    <t>EEE181.1</t>
  </si>
  <si>
    <t>[ADMR] Adib Md. Ridwan</t>
  </si>
  <si>
    <t>EEE181.2</t>
  </si>
  <si>
    <t>EEE181.3</t>
  </si>
  <si>
    <t>EEE181.10</t>
  </si>
  <si>
    <t>[SS] Shahad Saroar</t>
  </si>
  <si>
    <t>EEE181.11</t>
  </si>
  <si>
    <t>EEE241.2</t>
  </si>
  <si>
    <t>Electronic Devices &amp; Circuits I</t>
  </si>
  <si>
    <t>[HAL] H M Tahmeed Ul Islam</t>
  </si>
  <si>
    <t>EEE241.3</t>
  </si>
  <si>
    <t>GED1111.9</t>
  </si>
  <si>
    <t>[IJM] Iffath Jahan Moumita</t>
  </si>
  <si>
    <t>GED1111.10</t>
  </si>
  <si>
    <t>SOC341.6</t>
  </si>
  <si>
    <t>SOC341.8</t>
  </si>
  <si>
    <t>[AP] Md. Anower Perves</t>
  </si>
  <si>
    <t>D</t>
  </si>
  <si>
    <t>Slot - A</t>
  </si>
  <si>
    <t>17.04.2026</t>
  </si>
  <si>
    <t>CSE263.15</t>
  </si>
  <si>
    <t>[SHSH] Shoeb Mohammad Shahriar</t>
  </si>
  <si>
    <t>CSE281.12</t>
  </si>
  <si>
    <t>[MOHO] Mosarrof Hossain</t>
  </si>
  <si>
    <t>CSE345.12</t>
  </si>
  <si>
    <t>[AHS] Ashek Seum</t>
  </si>
  <si>
    <t>CSE355.4</t>
  </si>
  <si>
    <t>CSE381.8</t>
  </si>
  <si>
    <t>Introduction to Embedded Systems</t>
  </si>
  <si>
    <t>[GRB] Golam Rabbany</t>
  </si>
  <si>
    <t>SOC341.12</t>
  </si>
  <si>
    <t>[MEK] Mohammad Enamul Kabir</t>
  </si>
  <si>
    <t>Slot - B</t>
  </si>
  <si>
    <t>CSE281.13</t>
  </si>
  <si>
    <t>CSE341.11</t>
  </si>
  <si>
    <t>[TANA] Tanvir Ahmed</t>
  </si>
  <si>
    <t>EEE241.9</t>
  </si>
  <si>
    <t>[IHS] Imran Hossain Sabuj</t>
  </si>
  <si>
    <t>EEE241.10</t>
  </si>
  <si>
    <t>ETE281.12</t>
  </si>
  <si>
    <t>Communication Theory</t>
  </si>
  <si>
    <t>[SW] Mohammad Shamim Waheed</t>
  </si>
  <si>
    <t>Slot - C</t>
  </si>
  <si>
    <t>CSE241.11</t>
  </si>
  <si>
    <t>[RIM] Md. Robiul Islam</t>
  </si>
  <si>
    <t>CSE343.10</t>
  </si>
  <si>
    <t>[RKM] Md. Rakibul Islam</t>
  </si>
  <si>
    <t>CSE351.2</t>
  </si>
  <si>
    <t>Advanced Java</t>
  </si>
  <si>
    <t>[IMUD] Iftekher Mahmud</t>
  </si>
  <si>
    <t>CSE4047.1</t>
  </si>
  <si>
    <t>CSE471.4</t>
  </si>
  <si>
    <t>EEE241.8</t>
  </si>
  <si>
    <t>[SAMI] Sharika Manjuma Islam</t>
  </si>
  <si>
    <t>Slot - D</t>
  </si>
  <si>
    <t>CSE343.8</t>
  </si>
  <si>
    <t>[LYPY] Lubna Yasmin Pinky</t>
  </si>
  <si>
    <t>CSE345.13</t>
  </si>
  <si>
    <t>[RUAI] Rubayed All Islam</t>
  </si>
  <si>
    <t>CSE375.4</t>
  </si>
  <si>
    <t>Advanced Algorithm</t>
  </si>
  <si>
    <t>[ASHI] Mohammad Ashraful Islam</t>
  </si>
  <si>
    <t>MAT261.11</t>
  </si>
  <si>
    <t>Linear Algebra and Matrices</t>
  </si>
  <si>
    <t>[ARA] Md. Ashraful Alam</t>
  </si>
  <si>
    <t>Slot - 13</t>
  </si>
  <si>
    <t>18.04.2026</t>
  </si>
  <si>
    <t>CSE361.1</t>
  </si>
  <si>
    <t>CSE361.2</t>
  </si>
  <si>
    <t>CSE361.5</t>
  </si>
  <si>
    <t>[MRRR] Mst Rubaiya Raktin Raha</t>
  </si>
  <si>
    <t>CSE361.6</t>
  </si>
  <si>
    <t>CSE363.1</t>
  </si>
  <si>
    <t>[RADT] Radiathun Tasnia</t>
  </si>
  <si>
    <t>CSE363.2</t>
  </si>
  <si>
    <t>CSE363.3</t>
  </si>
  <si>
    <t>EEE181.12</t>
  </si>
  <si>
    <t>SOC2031.1</t>
  </si>
  <si>
    <t>[MBH] Mahbubul Haq Bhuiyan</t>
  </si>
  <si>
    <t>SOC341.4</t>
  </si>
  <si>
    <t>SOC341.5</t>
  </si>
  <si>
    <t>SOC341.7</t>
  </si>
  <si>
    <t>SOC341.9</t>
  </si>
  <si>
    <t>[TARH] Taohidur Rahman</t>
  </si>
  <si>
    <t>SOC341.10</t>
  </si>
  <si>
    <t>Slot - 14</t>
  </si>
  <si>
    <t>CSE281.1</t>
  </si>
  <si>
    <t>[FIZA] Nabiha Fiza</t>
  </si>
  <si>
    <t>CSE281.2</t>
  </si>
  <si>
    <t>CSE353.1</t>
  </si>
  <si>
    <t>[MMJR] Md. Mijanur Rahman</t>
  </si>
  <si>
    <t>CSE353.2</t>
  </si>
  <si>
    <t>MAT261.6</t>
  </si>
  <si>
    <t>MAT261.7</t>
  </si>
  <si>
    <t>MAT261.8</t>
  </si>
  <si>
    <t>MAT261.9</t>
  </si>
  <si>
    <t>MAT261.10</t>
  </si>
  <si>
    <t>PHY1103.8</t>
  </si>
  <si>
    <t>[NDTH] Nipa Debnath</t>
  </si>
  <si>
    <t>PHY161.1</t>
  </si>
  <si>
    <t>PHY161.5</t>
  </si>
  <si>
    <t>[SKAA] Dr. SK. Abdul Kader Arafin</t>
  </si>
  <si>
    <t>PHY161.6</t>
  </si>
  <si>
    <t>PHY161.7</t>
  </si>
  <si>
    <t>[HDU] Md. Hedayet Ullah</t>
  </si>
  <si>
    <t>PHY161.8</t>
  </si>
  <si>
    <t>Slot - 15</t>
  </si>
  <si>
    <t>CSE3011.1</t>
  </si>
  <si>
    <t>CSE383.1</t>
  </si>
  <si>
    <t>CSE383.2</t>
  </si>
  <si>
    <t>CSE383.11</t>
  </si>
  <si>
    <t>[NNAF] Nuzhat Nairy Afrin</t>
  </si>
  <si>
    <t>CSE383.12</t>
  </si>
  <si>
    <t>MAT241.1</t>
  </si>
  <si>
    <t>Complex Variables and Transforms (Laplace &amp; Fourier)</t>
  </si>
  <si>
    <t>MAT241.2</t>
  </si>
  <si>
    <t>MAT241.3</t>
  </si>
  <si>
    <t>MAT241.4</t>
  </si>
  <si>
    <t>[MTK] Md. Tamim Khandakar</t>
  </si>
  <si>
    <t>MAT241.5</t>
  </si>
  <si>
    <t>MAT241.6</t>
  </si>
  <si>
    <t>MAT241.7</t>
  </si>
  <si>
    <t>MAT261.1</t>
  </si>
  <si>
    <t>MAT261.2</t>
  </si>
  <si>
    <t>MAT261.3</t>
  </si>
  <si>
    <t>MAT261.4</t>
  </si>
  <si>
    <t>[GKS] Goutam Kumar Saha</t>
  </si>
  <si>
    <t>MAT261.5</t>
  </si>
  <si>
    <t>MATH2015.1</t>
  </si>
  <si>
    <t>Linear Algebra and Matrics</t>
  </si>
  <si>
    <t>Slot - E</t>
  </si>
  <si>
    <t>CSE263.14</t>
  </si>
  <si>
    <t>[TAT] Dr. Taslim Taher</t>
  </si>
  <si>
    <t>CSE265.14</t>
  </si>
  <si>
    <t>CSE359.10</t>
  </si>
  <si>
    <t>[BBA] Bulbul Ahmed</t>
  </si>
  <si>
    <t>CSE383.14</t>
  </si>
  <si>
    <t>[RAJA] Md. Rafsan Jani</t>
  </si>
  <si>
    <t>CSE4035.2</t>
  </si>
  <si>
    <t>CSE441.7</t>
  </si>
  <si>
    <t>[AMR] Md. Aminur Rahman</t>
  </si>
  <si>
    <t>CSE473.3</t>
  </si>
  <si>
    <t>CSE475.5</t>
  </si>
  <si>
    <t>[DRAT] Dr. Ashis Talukder</t>
  </si>
  <si>
    <t>CSE475.6</t>
  </si>
  <si>
    <t>[AKMA] A. K. M. Ahsanul Haque</t>
  </si>
  <si>
    <t>STA281.13</t>
  </si>
  <si>
    <t>[MEI] Dr. Md. Elias</t>
  </si>
  <si>
    <t>Slot - F</t>
  </si>
  <si>
    <t>CSE341.10</t>
  </si>
  <si>
    <t>CSE343.9</t>
  </si>
  <si>
    <t>CSE359.9</t>
  </si>
  <si>
    <t>CSE365.13</t>
  </si>
  <si>
    <t>[TMD] Tashreef Muhammad</t>
  </si>
  <si>
    <t>CSE383.13</t>
  </si>
  <si>
    <t>CSE475.4</t>
  </si>
  <si>
    <t>ECO461.12</t>
  </si>
  <si>
    <t>[SUAK] Sumaeya Akhter</t>
  </si>
  <si>
    <t>ETE281.13</t>
  </si>
  <si>
    <t>MAT161.10</t>
  </si>
  <si>
    <t>Coordinate Geometry and Vector Analysis</t>
  </si>
  <si>
    <t>STA281.12</t>
  </si>
  <si>
    <t>Slot - 16</t>
  </si>
  <si>
    <t>19.04.2026</t>
  </si>
  <si>
    <t>CSE375.1</t>
  </si>
  <si>
    <t>CSE375.2</t>
  </si>
  <si>
    <t>EEE241.6</t>
  </si>
  <si>
    <t>[ASH] Ahnaf Shahriyar</t>
  </si>
  <si>
    <t>EEE241.7</t>
  </si>
  <si>
    <t>MGT281.3</t>
  </si>
  <si>
    <t>[MMMM] Dr. Mia Muhammad Mustafiz Munir</t>
  </si>
  <si>
    <t>PHY1103.3</t>
  </si>
  <si>
    <t>[TNHR] Tanver Hossain Refat</t>
  </si>
  <si>
    <t>PHY1103.4</t>
  </si>
  <si>
    <t>[MUKO] Mustofa Khalid Ovi</t>
  </si>
  <si>
    <t>PHY1103.12</t>
  </si>
  <si>
    <t>PHY161.2</t>
  </si>
  <si>
    <t>PHY181.3</t>
  </si>
  <si>
    <t>PHY181.4</t>
  </si>
  <si>
    <t>SOC341.1</t>
  </si>
  <si>
    <t>[DAKM] Prof. Dr. Abdul Kadar Muhammad Masum</t>
  </si>
  <si>
    <t>SOC341.2</t>
  </si>
  <si>
    <t>SOC341.3</t>
  </si>
  <si>
    <t>Slot - 17</t>
  </si>
  <si>
    <t>CSE261.1</t>
  </si>
  <si>
    <t>[FUZ] Farhad Uz Zaman</t>
  </si>
  <si>
    <t>CSE261.2</t>
  </si>
  <si>
    <t>CSE365.7</t>
  </si>
  <si>
    <t>[KMU] Khandaker Mohammad Mohi Uddin</t>
  </si>
  <si>
    <t>CSE365.8</t>
  </si>
  <si>
    <t>CSE375.3</t>
  </si>
  <si>
    <t>[MDAM] Md. A. M. Reza Khan</t>
  </si>
  <si>
    <t>ECO461.10</t>
  </si>
  <si>
    <t>[FK] Dr. Foyasal Khan</t>
  </si>
  <si>
    <t>ECO461.11</t>
  </si>
  <si>
    <t>MAT161.1</t>
  </si>
  <si>
    <t>MAT161.7</t>
  </si>
  <si>
    <t>[MDI] Md. Asraful Islam</t>
  </si>
  <si>
    <t>MAT161.8</t>
  </si>
  <si>
    <t>PHY1211.1</t>
  </si>
  <si>
    <t>[DRAD] Dr. Ramit Azad</t>
  </si>
  <si>
    <t>PHY181.5</t>
  </si>
  <si>
    <t>PHY181.6</t>
  </si>
  <si>
    <t>PHY181.7</t>
  </si>
  <si>
    <t>PHY181.8</t>
  </si>
  <si>
    <t>Slot - 18</t>
  </si>
  <si>
    <t>CSE261.7</t>
  </si>
  <si>
    <t>CSE261.8</t>
  </si>
  <si>
    <t>CSE365.4</t>
  </si>
  <si>
    <t>CSE365.5</t>
  </si>
  <si>
    <t>CSE365.6</t>
  </si>
  <si>
    <t>CSE365.9</t>
  </si>
  <si>
    <t>CSE365.10</t>
  </si>
  <si>
    <t>CSE365.11</t>
  </si>
  <si>
    <t>[BAR] Borhan Ul Arif</t>
  </si>
  <si>
    <t>CSE365.12</t>
  </si>
  <si>
    <t>CSE4013.1</t>
  </si>
  <si>
    <t>Computer Graphics and Animation</t>
  </si>
  <si>
    <t>[RZC] Md. Reasad Zaman Chowdhury</t>
  </si>
  <si>
    <t>CSE443.4</t>
  </si>
  <si>
    <t>Computer Graphics &amp; Animation</t>
  </si>
  <si>
    <t>EEE241.4</t>
  </si>
  <si>
    <t>[MAMA] Mayukh Mallick</t>
  </si>
  <si>
    <t>EEE241.5</t>
  </si>
  <si>
    <t>PHY181.1</t>
  </si>
  <si>
    <t>[IJ] Ishrat Jahan</t>
  </si>
  <si>
    <t>PHY181.2</t>
  </si>
  <si>
    <t>PHY181.12</t>
  </si>
  <si>
    <t>Slot - 19</t>
  </si>
  <si>
    <t>20.04.2026</t>
  </si>
  <si>
    <t>CSE161.7</t>
  </si>
  <si>
    <t>CSE161.8</t>
  </si>
  <si>
    <t>CSE181.11</t>
  </si>
  <si>
    <t>[DUR] Dr. Md. Ruhul Amin</t>
  </si>
  <si>
    <t>CSE263.1</t>
  </si>
  <si>
    <t>CSE263.2</t>
  </si>
  <si>
    <t>CSE263.6</t>
  </si>
  <si>
    <t>CSE341.3</t>
  </si>
  <si>
    <t>CSE341.7</t>
  </si>
  <si>
    <t>CSE341.8</t>
  </si>
  <si>
    <t>CSE381.3</t>
  </si>
  <si>
    <t>[JNJ] Md Julkar Naim Joy</t>
  </si>
  <si>
    <t>CSE381.4</t>
  </si>
  <si>
    <t>CSE381.5</t>
  </si>
  <si>
    <t>[KDZN] Khondokar Zahin</t>
  </si>
  <si>
    <t>CSE381.6</t>
  </si>
  <si>
    <t>EEE241.1</t>
  </si>
  <si>
    <t>ETE281.1</t>
  </si>
  <si>
    <t>[KRH] Khondker Rawan Hamid</t>
  </si>
  <si>
    <t>ETE281.2</t>
  </si>
  <si>
    <t>ETE281.3</t>
  </si>
  <si>
    <t>Slot - 20</t>
  </si>
  <si>
    <t>CSE161.3</t>
  </si>
  <si>
    <t>CSE161.4</t>
  </si>
  <si>
    <t>CSE181.2</t>
  </si>
  <si>
    <t>CSE181.3</t>
  </si>
  <si>
    <t>CSE181.4</t>
  </si>
  <si>
    <t>CSE181.12</t>
  </si>
  <si>
    <t>CSE241.1</t>
  </si>
  <si>
    <t>CSE241.2</t>
  </si>
  <si>
    <t>CSE341.6</t>
  </si>
  <si>
    <t>CSE363.8</t>
  </si>
  <si>
    <t>[MSNS] Mst. Shafiatun Nur Shimu</t>
  </si>
  <si>
    <t>CSE363.9</t>
  </si>
  <si>
    <t>CSE363.10</t>
  </si>
  <si>
    <t>[NAT] Nawrin Tabssum</t>
  </si>
  <si>
    <t>CSE363.11</t>
  </si>
  <si>
    <t>ETE281.4</t>
  </si>
  <si>
    <t>ETE281.9</t>
  </si>
  <si>
    <t>ETE281.10</t>
  </si>
  <si>
    <t>[FAFA] Faika Fairuj Preotee</t>
  </si>
  <si>
    <t>ETE281.11</t>
  </si>
  <si>
    <t>Slot - 21</t>
  </si>
  <si>
    <t>CSE161.5</t>
  </si>
  <si>
    <t>[IN] S I M Adnan</t>
  </si>
  <si>
    <t>CSE161.6</t>
  </si>
  <si>
    <t>CSE161.9</t>
  </si>
  <si>
    <t>[NIBI] Sheikh Md. Nibir</t>
  </si>
  <si>
    <t>CSE181.5</t>
  </si>
  <si>
    <t>CSE181.6</t>
  </si>
  <si>
    <t>CSE181.7</t>
  </si>
  <si>
    <t>CSE181.8</t>
  </si>
  <si>
    <t>CSE181.9</t>
  </si>
  <si>
    <t>CSE241.7</t>
  </si>
  <si>
    <t>CSE241.8</t>
  </si>
  <si>
    <t>[DJI] Dr. Jakirul Islam</t>
  </si>
  <si>
    <t>CSE241.9</t>
  </si>
  <si>
    <t>CSE263.12</t>
  </si>
  <si>
    <t>[ZAHA] Ziyan Shirin Raha</t>
  </si>
  <si>
    <t>CSE341.4</t>
  </si>
  <si>
    <t>CSE341.5</t>
  </si>
  <si>
    <t>CSE381.1</t>
  </si>
  <si>
    <t>CSE381.2</t>
  </si>
  <si>
    <t>ETE2023.1</t>
  </si>
  <si>
    <t>ETE281.6</t>
  </si>
  <si>
    <t>ETE281.7</t>
  </si>
  <si>
    <t>ETE281.8</t>
  </si>
  <si>
    <t>Slot - 22</t>
  </si>
  <si>
    <t>21.04.2026</t>
  </si>
  <si>
    <t>CSE263.3</t>
  </si>
  <si>
    <t>[TAJO] Tanjina Oriana</t>
  </si>
  <si>
    <t>CSE263.4</t>
  </si>
  <si>
    <t>CSE263.5</t>
  </si>
  <si>
    <t>CSE345.7</t>
  </si>
  <si>
    <t>CSE363.6</t>
  </si>
  <si>
    <t>[MHZ] Md. Zahid Hossain</t>
  </si>
  <si>
    <t>CSE363.7</t>
  </si>
  <si>
    <t>CSE363.12</t>
  </si>
  <si>
    <t>[AMS] Adnan Amin Siddiquee</t>
  </si>
  <si>
    <t>CSE363.13</t>
  </si>
  <si>
    <t>CSE443.1</t>
  </si>
  <si>
    <t>CSE443.2</t>
  </si>
  <si>
    <t>EEE181.4</t>
  </si>
  <si>
    <t>MGT281.2</t>
  </si>
  <si>
    <t>[KFA] Kanis Fatema</t>
  </si>
  <si>
    <t>MGT281.4</t>
  </si>
  <si>
    <t>PHY1103.10</t>
  </si>
  <si>
    <t>[EJS] Emratul Jannat Swapna</t>
  </si>
  <si>
    <t>PHY1103.11</t>
  </si>
  <si>
    <t>Slot - 23</t>
  </si>
  <si>
    <t>CSE263.7</t>
  </si>
  <si>
    <t>CSE265.1</t>
  </si>
  <si>
    <t>CSE265.2</t>
  </si>
  <si>
    <t>CSE355.1</t>
  </si>
  <si>
    <t>CSE355.2</t>
  </si>
  <si>
    <t>CSE359.7</t>
  </si>
  <si>
    <t>[ANAR] Anika Rahman</t>
  </si>
  <si>
    <t>CSE359.8</t>
  </si>
  <si>
    <t>CSE359.11</t>
  </si>
  <si>
    <t>MAT1103.1</t>
  </si>
  <si>
    <t>[MDAZ] Md. Asadujjaman</t>
  </si>
  <si>
    <t>MAT1103.5</t>
  </si>
  <si>
    <t>[GM] Golam Mostafa</t>
  </si>
  <si>
    <t>MAT1103.6</t>
  </si>
  <si>
    <t>MAT1103.7</t>
  </si>
  <si>
    <t>MAT141.1</t>
  </si>
  <si>
    <t>MAT141.2</t>
  </si>
  <si>
    <t>MAT161.2</t>
  </si>
  <si>
    <t>MAT161.3</t>
  </si>
  <si>
    <t>Slot - 24</t>
  </si>
  <si>
    <t>CSE263.8</t>
  </si>
  <si>
    <t>[ZAZ] Zawad Zulfiker</t>
  </si>
  <si>
    <t>CSE263.9</t>
  </si>
  <si>
    <t>CSE281.11</t>
  </si>
  <si>
    <t>CSE443.3</t>
  </si>
  <si>
    <t>CSE475.3</t>
  </si>
  <si>
    <t>ECO461.5</t>
  </si>
  <si>
    <t>[MZN] Miraz Un Nabi</t>
  </si>
  <si>
    <t>ECO461.6</t>
  </si>
  <si>
    <t>ECO461.8</t>
  </si>
  <si>
    <t>[SAZ] Sazeda Akter</t>
  </si>
  <si>
    <t>MAT161.4</t>
  </si>
  <si>
    <t>[MMR] Md. Motiur Rahman</t>
  </si>
  <si>
    <t>MAT161.5</t>
  </si>
  <si>
    <t>[MDH] Md. Mojaammel Haque</t>
  </si>
  <si>
    <t>MAT161.6</t>
  </si>
  <si>
    <t>MAT161.9</t>
  </si>
  <si>
    <t>MAT241.8</t>
  </si>
  <si>
    <t>[DMMB] Dr. Md. Masum Billah</t>
  </si>
  <si>
    <t>MAT241.9</t>
  </si>
  <si>
    <t>PHY181.10</t>
  </si>
  <si>
    <t>[TSR] Dr. Tanu Arefin</t>
  </si>
  <si>
    <t>Slot - G</t>
  </si>
  <si>
    <t>24.04.2026</t>
  </si>
  <si>
    <t>CSE241.10</t>
  </si>
  <si>
    <t>CSE265.12</t>
  </si>
  <si>
    <t>CSE265.13</t>
  </si>
  <si>
    <t>CSE443.5</t>
  </si>
  <si>
    <t>Slot - H</t>
  </si>
  <si>
    <t>ACT141.5</t>
  </si>
  <si>
    <t>[ASNA] Abu Sayeed Nooruddin Ahmed</t>
  </si>
  <si>
    <t>CSE141.1</t>
  </si>
  <si>
    <t>Computer Fundamentals</t>
  </si>
  <si>
    <t>CSE351.1</t>
  </si>
  <si>
    <t>CSE363.16</t>
  </si>
  <si>
    <t>[YAM] Md. Bin Yeamin</t>
  </si>
  <si>
    <t>MAT261.13</t>
  </si>
  <si>
    <t>[MKP] Mrityunjoy Kumar Pandit</t>
  </si>
  <si>
    <t>PHY161.10</t>
  </si>
  <si>
    <t>[DHA] Dr. Hasina Akther</t>
  </si>
  <si>
    <t>Slot - I</t>
  </si>
  <si>
    <t>CSE261.13</t>
  </si>
  <si>
    <t>[DMOS] Dr. Mohammad Shafiul Alam</t>
  </si>
  <si>
    <t>CSE345.11</t>
  </si>
  <si>
    <t>CSE363.14</t>
  </si>
  <si>
    <t>[DSAK] Prof. Dr. Shamim Akhter</t>
  </si>
  <si>
    <t>CSE365.14</t>
  </si>
  <si>
    <t>CSE365.15</t>
  </si>
  <si>
    <t>CSE381.7</t>
  </si>
  <si>
    <t>CSE443.6</t>
  </si>
  <si>
    <t>SOC341.13</t>
  </si>
  <si>
    <t>Slot - J</t>
  </si>
  <si>
    <t>CSE475.7</t>
  </si>
  <si>
    <t>MAT241.10</t>
  </si>
  <si>
    <t>[DMAA] Dr. Md. Ayub Ali</t>
  </si>
  <si>
    <t>Slot - K</t>
  </si>
  <si>
    <t>25.04.2026</t>
  </si>
  <si>
    <t>CSE261.15</t>
  </si>
  <si>
    <t>CSE361.7</t>
  </si>
  <si>
    <t>[MMH] Md Moinul Hoque</t>
  </si>
  <si>
    <t>CSE363.15</t>
  </si>
  <si>
    <t>PHY181.13</t>
  </si>
  <si>
    <t>Slot - L</t>
  </si>
  <si>
    <t>CSE353.4</t>
  </si>
  <si>
    <t>CSE363.17</t>
  </si>
  <si>
    <t>ENG101.23</t>
  </si>
  <si>
    <t>Basic English Skills</t>
  </si>
  <si>
    <t>[IFA] Md. Iftekhar Arafath</t>
  </si>
  <si>
    <t>ENG105.27</t>
  </si>
  <si>
    <t>[DAR] Dr. Md. Abdur Rouf</t>
  </si>
  <si>
    <t>ENG105.28</t>
  </si>
  <si>
    <t>Slot - M</t>
  </si>
  <si>
    <t>CSE261.12</t>
  </si>
  <si>
    <t>CSE3031.1</t>
  </si>
  <si>
    <t>Operating systems</t>
  </si>
  <si>
    <t>CSE341.9</t>
  </si>
  <si>
    <t>CSE355.5</t>
  </si>
  <si>
    <t>Slot - N</t>
  </si>
  <si>
    <t>CSE261.14</t>
  </si>
  <si>
    <t>CSE441.4</t>
  </si>
  <si>
    <t>[DAHO] Dr. Amran Hossain</t>
  </si>
  <si>
    <t>CSE441.6</t>
  </si>
  <si>
    <t>EEE181.13</t>
  </si>
  <si>
    <t>Slot - O</t>
  </si>
  <si>
    <t>CSE343.11</t>
  </si>
  <si>
    <t>CSE441.5</t>
  </si>
  <si>
    <t>MAT261.12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</si>
</sst>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Times New Roman"/>
    </font>
    <font>
      <color theme="1"/>
      <name val="Arial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20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20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right" vertical="bottom"/>
    </xf>
    <xf borderId="2" fillId="2" fontId="1" numFmtId="0" xfId="0" applyAlignment="1" applyBorder="1" applyFont="1">
      <alignment horizontal="center" vertical="bottom"/>
    </xf>
    <xf borderId="2" fillId="2" fontId="1" numFmtId="20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" fillId="0" fontId="3" numFmtId="20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7.0"/>
    <col customWidth="1" min="3" max="3" width="8.5"/>
    <col customWidth="1" min="4" max="4" width="12.0"/>
    <col customWidth="1" min="5" max="5" width="11.25"/>
    <col customWidth="1" min="6" max="6" width="13.63"/>
    <col customWidth="1" min="7" max="7" width="42.0"/>
    <col customWidth="1" min="8" max="8" width="10.38"/>
    <col customWidth="1" min="9" max="9" width="36.38"/>
    <col customWidth="1" min="10" max="10" width="2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</row>
    <row r="2">
      <c r="A2" s="4" t="s">
        <v>9</v>
      </c>
      <c r="B2" s="4" t="s">
        <v>10</v>
      </c>
      <c r="C2" s="4" t="s">
        <v>11</v>
      </c>
      <c r="D2" s="5">
        <v>0.3541666666666667</v>
      </c>
      <c r="E2" s="5">
        <v>0.4166666666666667</v>
      </c>
      <c r="F2" s="4" t="s">
        <v>12</v>
      </c>
      <c r="G2" s="4" t="s">
        <v>13</v>
      </c>
      <c r="H2" s="6">
        <v>1.0</v>
      </c>
      <c r="I2" s="4" t="s">
        <v>14</v>
      </c>
      <c r="J2" s="7">
        <v>1.0</v>
      </c>
    </row>
    <row r="3">
      <c r="A3" s="4" t="s">
        <v>9</v>
      </c>
      <c r="B3" s="4" t="s">
        <v>10</v>
      </c>
      <c r="C3" s="4" t="s">
        <v>11</v>
      </c>
      <c r="D3" s="5">
        <v>0.3541666666666667</v>
      </c>
      <c r="E3" s="5">
        <v>0.4166666666666667</v>
      </c>
      <c r="F3" s="4" t="s">
        <v>15</v>
      </c>
      <c r="G3" s="4" t="s">
        <v>13</v>
      </c>
      <c r="H3" s="6">
        <v>38.0</v>
      </c>
      <c r="I3" s="4" t="s">
        <v>14</v>
      </c>
      <c r="J3" s="7">
        <f t="shared" ref="J3:J466" si="1"> IF(B3 = B2, J2, -1 * J2)</f>
        <v>1</v>
      </c>
    </row>
    <row r="4">
      <c r="A4" s="4" t="s">
        <v>9</v>
      </c>
      <c r="B4" s="4" t="s">
        <v>10</v>
      </c>
      <c r="C4" s="4" t="s">
        <v>11</v>
      </c>
      <c r="D4" s="5">
        <v>0.3541666666666667</v>
      </c>
      <c r="E4" s="5">
        <v>0.4166666666666667</v>
      </c>
      <c r="F4" s="4" t="s">
        <v>16</v>
      </c>
      <c r="G4" s="4" t="s">
        <v>13</v>
      </c>
      <c r="H4" s="6">
        <v>17.0</v>
      </c>
      <c r="I4" s="4" t="s">
        <v>14</v>
      </c>
      <c r="J4" s="7">
        <f t="shared" si="1"/>
        <v>1</v>
      </c>
    </row>
    <row r="5">
      <c r="A5" s="4" t="s">
        <v>9</v>
      </c>
      <c r="B5" s="4" t="s">
        <v>10</v>
      </c>
      <c r="C5" s="4" t="s">
        <v>11</v>
      </c>
      <c r="D5" s="5">
        <v>0.3541666666666667</v>
      </c>
      <c r="E5" s="5">
        <v>0.4166666666666667</v>
      </c>
      <c r="F5" s="4" t="s">
        <v>17</v>
      </c>
      <c r="G5" s="4" t="s">
        <v>18</v>
      </c>
      <c r="H5" s="6">
        <v>39.0</v>
      </c>
      <c r="I5" s="4" t="s">
        <v>19</v>
      </c>
      <c r="J5" s="7">
        <f t="shared" si="1"/>
        <v>1</v>
      </c>
    </row>
    <row r="6">
      <c r="A6" s="4" t="s">
        <v>9</v>
      </c>
      <c r="B6" s="4" t="s">
        <v>10</v>
      </c>
      <c r="C6" s="4" t="s">
        <v>11</v>
      </c>
      <c r="D6" s="5">
        <v>0.3541666666666667</v>
      </c>
      <c r="E6" s="5">
        <v>0.4166666666666667</v>
      </c>
      <c r="F6" s="4" t="s">
        <v>20</v>
      </c>
      <c r="G6" s="4" t="s">
        <v>18</v>
      </c>
      <c r="H6" s="6">
        <v>40.0</v>
      </c>
      <c r="I6" s="4" t="s">
        <v>21</v>
      </c>
      <c r="J6" s="7">
        <f t="shared" si="1"/>
        <v>1</v>
      </c>
    </row>
    <row r="7">
      <c r="A7" s="4" t="s">
        <v>9</v>
      </c>
      <c r="B7" s="4" t="s">
        <v>10</v>
      </c>
      <c r="C7" s="4" t="s">
        <v>11</v>
      </c>
      <c r="D7" s="5">
        <v>0.3541666666666667</v>
      </c>
      <c r="E7" s="5">
        <v>0.4166666666666667</v>
      </c>
      <c r="F7" s="4" t="s">
        <v>22</v>
      </c>
      <c r="G7" s="4" t="s">
        <v>18</v>
      </c>
      <c r="H7" s="6">
        <v>39.0</v>
      </c>
      <c r="I7" s="4" t="s">
        <v>21</v>
      </c>
      <c r="J7" s="7">
        <f t="shared" si="1"/>
        <v>1</v>
      </c>
    </row>
    <row r="8">
      <c r="A8" s="4" t="s">
        <v>9</v>
      </c>
      <c r="B8" s="4" t="s">
        <v>10</v>
      </c>
      <c r="C8" s="4" t="s">
        <v>11</v>
      </c>
      <c r="D8" s="5">
        <v>0.3541666666666667</v>
      </c>
      <c r="E8" s="5">
        <v>0.4166666666666667</v>
      </c>
      <c r="F8" s="4" t="s">
        <v>23</v>
      </c>
      <c r="G8" s="4" t="s">
        <v>18</v>
      </c>
      <c r="H8" s="6">
        <v>40.0</v>
      </c>
      <c r="I8" s="4" t="s">
        <v>21</v>
      </c>
      <c r="J8" s="7">
        <f t="shared" si="1"/>
        <v>1</v>
      </c>
    </row>
    <row r="9">
      <c r="A9" s="4" t="s">
        <v>9</v>
      </c>
      <c r="B9" s="4" t="s">
        <v>10</v>
      </c>
      <c r="C9" s="4" t="s">
        <v>11</v>
      </c>
      <c r="D9" s="5">
        <v>0.3541666666666667</v>
      </c>
      <c r="E9" s="5">
        <v>0.4166666666666667</v>
      </c>
      <c r="F9" s="4" t="s">
        <v>24</v>
      </c>
      <c r="G9" s="4" t="s">
        <v>25</v>
      </c>
      <c r="H9" s="6">
        <v>31.0</v>
      </c>
      <c r="I9" s="4" t="s">
        <v>26</v>
      </c>
      <c r="J9" s="7">
        <f t="shared" si="1"/>
        <v>1</v>
      </c>
    </row>
    <row r="10">
      <c r="A10" s="4" t="s">
        <v>9</v>
      </c>
      <c r="B10" s="4" t="s">
        <v>10</v>
      </c>
      <c r="C10" s="4" t="s">
        <v>11</v>
      </c>
      <c r="D10" s="5">
        <v>0.3541666666666667</v>
      </c>
      <c r="E10" s="5">
        <v>0.4166666666666667</v>
      </c>
      <c r="F10" s="4" t="s">
        <v>27</v>
      </c>
      <c r="G10" s="4" t="s">
        <v>25</v>
      </c>
      <c r="H10" s="6">
        <v>30.0</v>
      </c>
      <c r="I10" s="4" t="s">
        <v>26</v>
      </c>
      <c r="J10" s="7">
        <f t="shared" si="1"/>
        <v>1</v>
      </c>
    </row>
    <row r="11">
      <c r="A11" s="4" t="s">
        <v>9</v>
      </c>
      <c r="B11" s="4" t="s">
        <v>10</v>
      </c>
      <c r="C11" s="4" t="s">
        <v>11</v>
      </c>
      <c r="D11" s="5">
        <v>0.3541666666666667</v>
      </c>
      <c r="E11" s="5">
        <v>0.4166666666666667</v>
      </c>
      <c r="F11" s="4" t="s">
        <v>28</v>
      </c>
      <c r="G11" s="4" t="s">
        <v>25</v>
      </c>
      <c r="H11" s="6">
        <v>29.0</v>
      </c>
      <c r="I11" s="4" t="s">
        <v>26</v>
      </c>
      <c r="J11" s="7">
        <f t="shared" si="1"/>
        <v>1</v>
      </c>
    </row>
    <row r="12">
      <c r="A12" s="4" t="s">
        <v>9</v>
      </c>
      <c r="B12" s="4" t="s">
        <v>10</v>
      </c>
      <c r="C12" s="4" t="s">
        <v>11</v>
      </c>
      <c r="D12" s="5">
        <v>0.3541666666666667</v>
      </c>
      <c r="E12" s="5">
        <v>0.4166666666666667</v>
      </c>
      <c r="F12" s="4" t="s">
        <v>29</v>
      </c>
      <c r="G12" s="4" t="s">
        <v>30</v>
      </c>
      <c r="H12" s="6">
        <v>38.0</v>
      </c>
      <c r="I12" s="4" t="s">
        <v>31</v>
      </c>
      <c r="J12" s="7">
        <f t="shared" si="1"/>
        <v>1</v>
      </c>
    </row>
    <row r="13">
      <c r="A13" s="4" t="s">
        <v>9</v>
      </c>
      <c r="B13" s="4" t="s">
        <v>10</v>
      </c>
      <c r="C13" s="4" t="s">
        <v>11</v>
      </c>
      <c r="D13" s="5">
        <v>0.3541666666666667</v>
      </c>
      <c r="E13" s="5">
        <v>0.4166666666666667</v>
      </c>
      <c r="F13" s="4" t="s">
        <v>32</v>
      </c>
      <c r="G13" s="4" t="s">
        <v>30</v>
      </c>
      <c r="H13" s="6">
        <v>40.0</v>
      </c>
      <c r="I13" s="4" t="s">
        <v>31</v>
      </c>
      <c r="J13" s="7">
        <f t="shared" si="1"/>
        <v>1</v>
      </c>
    </row>
    <row r="14">
      <c r="A14" s="4" t="s">
        <v>9</v>
      </c>
      <c r="B14" s="4" t="s">
        <v>10</v>
      </c>
      <c r="C14" s="4" t="s">
        <v>11</v>
      </c>
      <c r="D14" s="5">
        <v>0.3541666666666667</v>
      </c>
      <c r="E14" s="5">
        <v>0.4166666666666667</v>
      </c>
      <c r="F14" s="4" t="s">
        <v>33</v>
      </c>
      <c r="G14" s="4" t="s">
        <v>30</v>
      </c>
      <c r="H14" s="6">
        <v>36.0</v>
      </c>
      <c r="I14" s="4" t="s">
        <v>34</v>
      </c>
      <c r="J14" s="7">
        <f t="shared" si="1"/>
        <v>1</v>
      </c>
    </row>
    <row r="15">
      <c r="A15" s="4" t="s">
        <v>9</v>
      </c>
      <c r="B15" s="4" t="s">
        <v>10</v>
      </c>
      <c r="C15" s="4" t="s">
        <v>11</v>
      </c>
      <c r="D15" s="5">
        <v>0.3541666666666667</v>
      </c>
      <c r="E15" s="5">
        <v>0.4166666666666667</v>
      </c>
      <c r="F15" s="4" t="s">
        <v>35</v>
      </c>
      <c r="G15" s="4" t="s">
        <v>30</v>
      </c>
      <c r="H15" s="6">
        <v>39.0</v>
      </c>
      <c r="I15" s="4" t="s">
        <v>34</v>
      </c>
      <c r="J15" s="7">
        <f t="shared" si="1"/>
        <v>1</v>
      </c>
    </row>
    <row r="16">
      <c r="A16" s="4" t="s">
        <v>9</v>
      </c>
      <c r="B16" s="4" t="s">
        <v>10</v>
      </c>
      <c r="C16" s="4" t="s">
        <v>11</v>
      </c>
      <c r="D16" s="5">
        <v>0.3541666666666667</v>
      </c>
      <c r="E16" s="5">
        <v>0.4166666666666667</v>
      </c>
      <c r="F16" s="4" t="s">
        <v>36</v>
      </c>
      <c r="G16" s="4" t="s">
        <v>30</v>
      </c>
      <c r="H16" s="6">
        <v>40.0</v>
      </c>
      <c r="I16" s="4" t="s">
        <v>37</v>
      </c>
      <c r="J16" s="7">
        <f t="shared" si="1"/>
        <v>1</v>
      </c>
    </row>
    <row r="17">
      <c r="A17" s="4" t="s">
        <v>9</v>
      </c>
      <c r="B17" s="4" t="s">
        <v>10</v>
      </c>
      <c r="C17" s="4" t="s">
        <v>11</v>
      </c>
      <c r="D17" s="5">
        <v>0.3541666666666667</v>
      </c>
      <c r="E17" s="5">
        <v>0.4166666666666667</v>
      </c>
      <c r="F17" s="4" t="s">
        <v>38</v>
      </c>
      <c r="G17" s="4" t="s">
        <v>30</v>
      </c>
      <c r="H17" s="6">
        <v>40.0</v>
      </c>
      <c r="I17" s="4" t="s">
        <v>37</v>
      </c>
      <c r="J17" s="7">
        <f t="shared" si="1"/>
        <v>1</v>
      </c>
    </row>
    <row r="18">
      <c r="A18" s="4" t="s">
        <v>9</v>
      </c>
      <c r="B18" s="4" t="s">
        <v>10</v>
      </c>
      <c r="C18" s="4" t="s">
        <v>11</v>
      </c>
      <c r="D18" s="5">
        <v>0.3541666666666667</v>
      </c>
      <c r="E18" s="5">
        <v>0.4166666666666667</v>
      </c>
      <c r="F18" s="4" t="s">
        <v>39</v>
      </c>
      <c r="G18" s="4" t="s">
        <v>30</v>
      </c>
      <c r="H18" s="6">
        <v>33.0</v>
      </c>
      <c r="I18" s="4" t="s">
        <v>34</v>
      </c>
      <c r="J18" s="7">
        <f t="shared" si="1"/>
        <v>1</v>
      </c>
    </row>
    <row r="19">
      <c r="A19" s="4" t="s">
        <v>9</v>
      </c>
      <c r="B19" s="4" t="s">
        <v>40</v>
      </c>
      <c r="C19" s="4" t="s">
        <v>11</v>
      </c>
      <c r="D19" s="5">
        <v>0.4791666666666667</v>
      </c>
      <c r="E19" s="5">
        <v>0.5416666666666666</v>
      </c>
      <c r="F19" s="4" t="s">
        <v>41</v>
      </c>
      <c r="G19" s="4" t="s">
        <v>42</v>
      </c>
      <c r="H19" s="6">
        <v>19.0</v>
      </c>
      <c r="I19" s="4" t="s">
        <v>43</v>
      </c>
      <c r="J19" s="7">
        <f t="shared" si="1"/>
        <v>-1</v>
      </c>
    </row>
    <row r="20">
      <c r="A20" s="4" t="s">
        <v>9</v>
      </c>
      <c r="B20" s="4" t="s">
        <v>40</v>
      </c>
      <c r="C20" s="4" t="s">
        <v>11</v>
      </c>
      <c r="D20" s="5">
        <v>0.4791666666666667</v>
      </c>
      <c r="E20" s="5">
        <v>0.5416666666666666</v>
      </c>
      <c r="F20" s="4" t="s">
        <v>44</v>
      </c>
      <c r="G20" s="4" t="s">
        <v>45</v>
      </c>
      <c r="H20" s="6">
        <v>40.0</v>
      </c>
      <c r="I20" s="4" t="s">
        <v>46</v>
      </c>
      <c r="J20" s="7">
        <f t="shared" si="1"/>
        <v>-1</v>
      </c>
    </row>
    <row r="21">
      <c r="A21" s="4" t="s">
        <v>9</v>
      </c>
      <c r="B21" s="4" t="s">
        <v>40</v>
      </c>
      <c r="C21" s="4" t="s">
        <v>11</v>
      </c>
      <c r="D21" s="5">
        <v>0.4791666666666667</v>
      </c>
      <c r="E21" s="5">
        <v>0.5416666666666666</v>
      </c>
      <c r="F21" s="4" t="s">
        <v>47</v>
      </c>
      <c r="G21" s="4" t="s">
        <v>45</v>
      </c>
      <c r="H21" s="6">
        <v>40.0</v>
      </c>
      <c r="I21" s="4" t="s">
        <v>46</v>
      </c>
      <c r="J21" s="7">
        <f t="shared" si="1"/>
        <v>-1</v>
      </c>
    </row>
    <row r="22">
      <c r="A22" s="4" t="s">
        <v>9</v>
      </c>
      <c r="B22" s="4" t="s">
        <v>40</v>
      </c>
      <c r="C22" s="4" t="s">
        <v>11</v>
      </c>
      <c r="D22" s="5">
        <v>0.4791666666666667</v>
      </c>
      <c r="E22" s="5">
        <v>0.5416666666666666</v>
      </c>
      <c r="F22" s="4" t="s">
        <v>48</v>
      </c>
      <c r="G22" s="4" t="s">
        <v>13</v>
      </c>
      <c r="H22" s="6">
        <v>40.0</v>
      </c>
      <c r="I22" s="4" t="s">
        <v>49</v>
      </c>
      <c r="J22" s="7">
        <f t="shared" si="1"/>
        <v>-1</v>
      </c>
    </row>
    <row r="23">
      <c r="A23" s="4" t="s">
        <v>9</v>
      </c>
      <c r="B23" s="4" t="s">
        <v>40</v>
      </c>
      <c r="C23" s="4" t="s">
        <v>11</v>
      </c>
      <c r="D23" s="5">
        <v>0.4791666666666667</v>
      </c>
      <c r="E23" s="5">
        <v>0.5416666666666666</v>
      </c>
      <c r="F23" s="4" t="s">
        <v>50</v>
      </c>
      <c r="G23" s="4" t="s">
        <v>13</v>
      </c>
      <c r="H23" s="6">
        <v>38.0</v>
      </c>
      <c r="I23" s="4" t="s">
        <v>49</v>
      </c>
      <c r="J23" s="7">
        <f t="shared" si="1"/>
        <v>-1</v>
      </c>
    </row>
    <row r="24">
      <c r="A24" s="4" t="s">
        <v>9</v>
      </c>
      <c r="B24" s="4" t="s">
        <v>40</v>
      </c>
      <c r="C24" s="4" t="s">
        <v>11</v>
      </c>
      <c r="D24" s="5">
        <v>0.4791666666666667</v>
      </c>
      <c r="E24" s="5">
        <v>0.5416666666666666</v>
      </c>
      <c r="F24" s="4" t="s">
        <v>51</v>
      </c>
      <c r="G24" s="4" t="s">
        <v>13</v>
      </c>
      <c r="H24" s="6">
        <v>41.0</v>
      </c>
      <c r="I24" s="4" t="s">
        <v>52</v>
      </c>
      <c r="J24" s="7">
        <f t="shared" si="1"/>
        <v>-1</v>
      </c>
    </row>
    <row r="25">
      <c r="A25" s="4" t="s">
        <v>9</v>
      </c>
      <c r="B25" s="4" t="s">
        <v>40</v>
      </c>
      <c r="C25" s="4" t="s">
        <v>11</v>
      </c>
      <c r="D25" s="5">
        <v>0.4791666666666667</v>
      </c>
      <c r="E25" s="5">
        <v>0.5416666666666666</v>
      </c>
      <c r="F25" s="4" t="s">
        <v>53</v>
      </c>
      <c r="G25" s="4" t="s">
        <v>18</v>
      </c>
      <c r="H25" s="6">
        <v>30.0</v>
      </c>
      <c r="I25" s="4" t="s">
        <v>54</v>
      </c>
      <c r="J25" s="7">
        <f t="shared" si="1"/>
        <v>-1</v>
      </c>
    </row>
    <row r="26">
      <c r="A26" s="4" t="s">
        <v>9</v>
      </c>
      <c r="B26" s="4" t="s">
        <v>40</v>
      </c>
      <c r="C26" s="4" t="s">
        <v>11</v>
      </c>
      <c r="D26" s="5">
        <v>0.4791666666666667</v>
      </c>
      <c r="E26" s="5">
        <v>0.5416666666666666</v>
      </c>
      <c r="F26" s="4" t="s">
        <v>55</v>
      </c>
      <c r="G26" s="4" t="s">
        <v>18</v>
      </c>
      <c r="H26" s="6">
        <v>39.0</v>
      </c>
      <c r="I26" s="4" t="s">
        <v>54</v>
      </c>
      <c r="J26" s="7">
        <f t="shared" si="1"/>
        <v>-1</v>
      </c>
    </row>
    <row r="27">
      <c r="A27" s="4" t="s">
        <v>9</v>
      </c>
      <c r="B27" s="4" t="s">
        <v>40</v>
      </c>
      <c r="C27" s="4" t="s">
        <v>11</v>
      </c>
      <c r="D27" s="5">
        <v>0.4791666666666667</v>
      </c>
      <c r="E27" s="5">
        <v>0.5416666666666666</v>
      </c>
      <c r="F27" s="4" t="s">
        <v>56</v>
      </c>
      <c r="G27" s="4" t="s">
        <v>57</v>
      </c>
      <c r="H27" s="6">
        <v>37.0</v>
      </c>
      <c r="I27" s="4" t="s">
        <v>58</v>
      </c>
      <c r="J27" s="7">
        <f t="shared" si="1"/>
        <v>-1</v>
      </c>
    </row>
    <row r="28">
      <c r="A28" s="4" t="s">
        <v>9</v>
      </c>
      <c r="B28" s="4" t="s">
        <v>40</v>
      </c>
      <c r="C28" s="4" t="s">
        <v>11</v>
      </c>
      <c r="D28" s="5">
        <v>0.4791666666666667</v>
      </c>
      <c r="E28" s="5">
        <v>0.5416666666666666</v>
      </c>
      <c r="F28" s="4" t="s">
        <v>59</v>
      </c>
      <c r="G28" s="4" t="s">
        <v>60</v>
      </c>
      <c r="H28" s="6">
        <v>3.0</v>
      </c>
      <c r="I28" s="4" t="s">
        <v>61</v>
      </c>
      <c r="J28" s="7">
        <f t="shared" si="1"/>
        <v>-1</v>
      </c>
    </row>
    <row r="29">
      <c r="A29" s="4" t="s">
        <v>9</v>
      </c>
      <c r="B29" s="4" t="s">
        <v>40</v>
      </c>
      <c r="C29" s="4" t="s">
        <v>11</v>
      </c>
      <c r="D29" s="5">
        <v>0.4791666666666667</v>
      </c>
      <c r="E29" s="5">
        <v>0.5416666666666666</v>
      </c>
      <c r="F29" s="4" t="s">
        <v>62</v>
      </c>
      <c r="G29" s="4" t="s">
        <v>63</v>
      </c>
      <c r="H29" s="6">
        <v>36.0</v>
      </c>
      <c r="I29" s="4" t="s">
        <v>64</v>
      </c>
      <c r="J29" s="7">
        <f t="shared" si="1"/>
        <v>-1</v>
      </c>
    </row>
    <row r="30">
      <c r="A30" s="4" t="s">
        <v>9</v>
      </c>
      <c r="B30" s="4" t="s">
        <v>40</v>
      </c>
      <c r="C30" s="4" t="s">
        <v>11</v>
      </c>
      <c r="D30" s="5">
        <v>0.4791666666666667</v>
      </c>
      <c r="E30" s="5">
        <v>0.5416666666666666</v>
      </c>
      <c r="F30" s="4" t="s">
        <v>65</v>
      </c>
      <c r="G30" s="4" t="s">
        <v>63</v>
      </c>
      <c r="H30" s="6">
        <v>36.0</v>
      </c>
      <c r="I30" s="4" t="s">
        <v>64</v>
      </c>
      <c r="J30" s="7">
        <f t="shared" si="1"/>
        <v>-1</v>
      </c>
    </row>
    <row r="31">
      <c r="A31" s="4" t="s">
        <v>9</v>
      </c>
      <c r="B31" s="4" t="s">
        <v>40</v>
      </c>
      <c r="C31" s="4" t="s">
        <v>11</v>
      </c>
      <c r="D31" s="5">
        <v>0.4791666666666667</v>
      </c>
      <c r="E31" s="5">
        <v>0.5416666666666666</v>
      </c>
      <c r="F31" s="4" t="s">
        <v>66</v>
      </c>
      <c r="G31" s="4" t="s">
        <v>63</v>
      </c>
      <c r="H31" s="6">
        <v>35.0</v>
      </c>
      <c r="I31" s="4" t="s">
        <v>61</v>
      </c>
      <c r="J31" s="7">
        <f t="shared" si="1"/>
        <v>-1</v>
      </c>
    </row>
    <row r="32">
      <c r="A32" s="4" t="s">
        <v>9</v>
      </c>
      <c r="B32" s="4" t="s">
        <v>40</v>
      </c>
      <c r="C32" s="4" t="s">
        <v>11</v>
      </c>
      <c r="D32" s="5">
        <v>0.4791666666666667</v>
      </c>
      <c r="E32" s="5">
        <v>0.5416666666666666</v>
      </c>
      <c r="F32" s="4" t="s">
        <v>67</v>
      </c>
      <c r="G32" s="4" t="s">
        <v>63</v>
      </c>
      <c r="H32" s="6">
        <v>36.0</v>
      </c>
      <c r="I32" s="4" t="s">
        <v>61</v>
      </c>
      <c r="J32" s="7">
        <f t="shared" si="1"/>
        <v>-1</v>
      </c>
    </row>
    <row r="33">
      <c r="A33" s="4" t="s">
        <v>9</v>
      </c>
      <c r="B33" s="4" t="s">
        <v>40</v>
      </c>
      <c r="C33" s="4" t="s">
        <v>11</v>
      </c>
      <c r="D33" s="5">
        <v>0.4791666666666667</v>
      </c>
      <c r="E33" s="5">
        <v>0.5416666666666666</v>
      </c>
      <c r="F33" s="4" t="s">
        <v>68</v>
      </c>
      <c r="G33" s="4" t="s">
        <v>63</v>
      </c>
      <c r="H33" s="6">
        <v>31.0</v>
      </c>
      <c r="I33" s="4" t="s">
        <v>61</v>
      </c>
      <c r="J33" s="7">
        <f t="shared" si="1"/>
        <v>-1</v>
      </c>
    </row>
    <row r="34">
      <c r="A34" s="4" t="s">
        <v>9</v>
      </c>
      <c r="B34" s="4" t="s">
        <v>40</v>
      </c>
      <c r="C34" s="4" t="s">
        <v>11</v>
      </c>
      <c r="D34" s="5">
        <v>0.4791666666666667</v>
      </c>
      <c r="E34" s="5">
        <v>0.5416666666666666</v>
      </c>
      <c r="F34" s="4" t="s">
        <v>69</v>
      </c>
      <c r="G34" s="4" t="s">
        <v>25</v>
      </c>
      <c r="H34" s="6">
        <v>31.0</v>
      </c>
      <c r="I34" s="4" t="s">
        <v>70</v>
      </c>
      <c r="J34" s="7">
        <f t="shared" si="1"/>
        <v>-1</v>
      </c>
    </row>
    <row r="35">
      <c r="A35" s="4" t="s">
        <v>9</v>
      </c>
      <c r="B35" s="4" t="s">
        <v>40</v>
      </c>
      <c r="C35" s="4" t="s">
        <v>11</v>
      </c>
      <c r="D35" s="5">
        <v>0.4791666666666667</v>
      </c>
      <c r="E35" s="5">
        <v>0.5416666666666666</v>
      </c>
      <c r="F35" s="4" t="s">
        <v>71</v>
      </c>
      <c r="G35" s="4" t="s">
        <v>25</v>
      </c>
      <c r="H35" s="6">
        <v>33.0</v>
      </c>
      <c r="I35" s="4" t="s">
        <v>70</v>
      </c>
      <c r="J35" s="7">
        <f t="shared" si="1"/>
        <v>-1</v>
      </c>
    </row>
    <row r="36">
      <c r="A36" s="4" t="s">
        <v>9</v>
      </c>
      <c r="B36" s="4" t="s">
        <v>72</v>
      </c>
      <c r="C36" s="4" t="s">
        <v>11</v>
      </c>
      <c r="D36" s="5">
        <v>0.6041666666666666</v>
      </c>
      <c r="E36" s="5">
        <v>0.6666666666666666</v>
      </c>
      <c r="F36" s="4" t="s">
        <v>73</v>
      </c>
      <c r="G36" s="4" t="s">
        <v>13</v>
      </c>
      <c r="H36" s="6">
        <v>42.0</v>
      </c>
      <c r="I36" s="4" t="s">
        <v>74</v>
      </c>
      <c r="J36" s="7">
        <f t="shared" si="1"/>
        <v>1</v>
      </c>
    </row>
    <row r="37">
      <c r="A37" s="4" t="s">
        <v>9</v>
      </c>
      <c r="B37" s="4" t="s">
        <v>72</v>
      </c>
      <c r="C37" s="4" t="s">
        <v>11</v>
      </c>
      <c r="D37" s="5">
        <v>0.6041666666666666</v>
      </c>
      <c r="E37" s="5">
        <v>0.6666666666666666</v>
      </c>
      <c r="F37" s="4" t="s">
        <v>75</v>
      </c>
      <c r="G37" s="4" t="s">
        <v>13</v>
      </c>
      <c r="H37" s="6">
        <v>42.0</v>
      </c>
      <c r="I37" s="4" t="s">
        <v>74</v>
      </c>
      <c r="J37" s="7">
        <f t="shared" si="1"/>
        <v>1</v>
      </c>
    </row>
    <row r="38">
      <c r="A38" s="4" t="s">
        <v>9</v>
      </c>
      <c r="B38" s="4" t="s">
        <v>72</v>
      </c>
      <c r="C38" s="4" t="s">
        <v>11</v>
      </c>
      <c r="D38" s="5">
        <v>0.6041666666666666</v>
      </c>
      <c r="E38" s="5">
        <v>0.6666666666666666</v>
      </c>
      <c r="F38" s="4" t="s">
        <v>76</v>
      </c>
      <c r="G38" s="4" t="s">
        <v>57</v>
      </c>
      <c r="H38" s="6">
        <v>33.0</v>
      </c>
      <c r="I38" s="4" t="s">
        <v>77</v>
      </c>
      <c r="J38" s="7">
        <f t="shared" si="1"/>
        <v>1</v>
      </c>
    </row>
    <row r="39">
      <c r="A39" s="4" t="s">
        <v>9</v>
      </c>
      <c r="B39" s="4" t="s">
        <v>72</v>
      </c>
      <c r="C39" s="4" t="s">
        <v>11</v>
      </c>
      <c r="D39" s="5">
        <v>0.6041666666666666</v>
      </c>
      <c r="E39" s="5">
        <v>0.6666666666666666</v>
      </c>
      <c r="F39" s="4" t="s">
        <v>78</v>
      </c>
      <c r="G39" s="4" t="s">
        <v>57</v>
      </c>
      <c r="H39" s="6">
        <v>40.0</v>
      </c>
      <c r="I39" s="4" t="s">
        <v>79</v>
      </c>
      <c r="J39" s="7">
        <f t="shared" si="1"/>
        <v>1</v>
      </c>
    </row>
    <row r="40">
      <c r="A40" s="4" t="s">
        <v>9</v>
      </c>
      <c r="B40" s="4" t="s">
        <v>72</v>
      </c>
      <c r="C40" s="4" t="s">
        <v>11</v>
      </c>
      <c r="D40" s="5">
        <v>0.6041666666666666</v>
      </c>
      <c r="E40" s="5">
        <v>0.6666666666666666</v>
      </c>
      <c r="F40" s="4" t="s">
        <v>80</v>
      </c>
      <c r="G40" s="4" t="s">
        <v>81</v>
      </c>
      <c r="H40" s="6">
        <v>41.0</v>
      </c>
      <c r="I40" s="4" t="s">
        <v>82</v>
      </c>
      <c r="J40" s="7">
        <f t="shared" si="1"/>
        <v>1</v>
      </c>
    </row>
    <row r="41">
      <c r="A41" s="4" t="s">
        <v>9</v>
      </c>
      <c r="B41" s="4" t="s">
        <v>72</v>
      </c>
      <c r="C41" s="4" t="s">
        <v>11</v>
      </c>
      <c r="D41" s="5">
        <v>0.6041666666666666</v>
      </c>
      <c r="E41" s="5">
        <v>0.6666666666666666</v>
      </c>
      <c r="F41" s="4" t="s">
        <v>83</v>
      </c>
      <c r="G41" s="4" t="s">
        <v>81</v>
      </c>
      <c r="H41" s="6">
        <v>35.0</v>
      </c>
      <c r="I41" s="4" t="s">
        <v>82</v>
      </c>
      <c r="J41" s="7">
        <f t="shared" si="1"/>
        <v>1</v>
      </c>
    </row>
    <row r="42">
      <c r="A42" s="4" t="s">
        <v>9</v>
      </c>
      <c r="B42" s="4" t="s">
        <v>72</v>
      </c>
      <c r="C42" s="4" t="s">
        <v>11</v>
      </c>
      <c r="D42" s="5">
        <v>0.6041666666666666</v>
      </c>
      <c r="E42" s="5">
        <v>0.6666666666666666</v>
      </c>
      <c r="F42" s="4" t="s">
        <v>84</v>
      </c>
      <c r="G42" s="4" t="s">
        <v>85</v>
      </c>
      <c r="H42" s="6">
        <v>42.0</v>
      </c>
      <c r="I42" s="4" t="s">
        <v>86</v>
      </c>
      <c r="J42" s="7">
        <f t="shared" si="1"/>
        <v>1</v>
      </c>
    </row>
    <row r="43">
      <c r="A43" s="4" t="s">
        <v>9</v>
      </c>
      <c r="B43" s="4" t="s">
        <v>72</v>
      </c>
      <c r="C43" s="4" t="s">
        <v>11</v>
      </c>
      <c r="D43" s="5">
        <v>0.6041666666666666</v>
      </c>
      <c r="E43" s="5">
        <v>0.6666666666666666</v>
      </c>
      <c r="F43" s="4" t="s">
        <v>87</v>
      </c>
      <c r="G43" s="4" t="s">
        <v>88</v>
      </c>
      <c r="H43" s="6">
        <v>39.0</v>
      </c>
      <c r="I43" s="4" t="s">
        <v>89</v>
      </c>
      <c r="J43" s="7">
        <f t="shared" si="1"/>
        <v>1</v>
      </c>
    </row>
    <row r="44">
      <c r="A44" s="4" t="s">
        <v>9</v>
      </c>
      <c r="B44" s="4" t="s">
        <v>72</v>
      </c>
      <c r="C44" s="4" t="s">
        <v>11</v>
      </c>
      <c r="D44" s="5">
        <v>0.6041666666666666</v>
      </c>
      <c r="E44" s="5">
        <v>0.6666666666666666</v>
      </c>
      <c r="F44" s="4" t="s">
        <v>90</v>
      </c>
      <c r="G44" s="4" t="s">
        <v>91</v>
      </c>
      <c r="H44" s="6">
        <v>41.0</v>
      </c>
      <c r="I44" s="4" t="s">
        <v>64</v>
      </c>
      <c r="J44" s="7">
        <f t="shared" si="1"/>
        <v>1</v>
      </c>
    </row>
    <row r="45">
      <c r="A45" s="4" t="s">
        <v>9</v>
      </c>
      <c r="B45" s="4" t="s">
        <v>72</v>
      </c>
      <c r="C45" s="4" t="s">
        <v>11</v>
      </c>
      <c r="D45" s="5">
        <v>0.6041666666666666</v>
      </c>
      <c r="E45" s="5">
        <v>0.6666666666666666</v>
      </c>
      <c r="F45" s="4" t="s">
        <v>92</v>
      </c>
      <c r="G45" s="4" t="s">
        <v>30</v>
      </c>
      <c r="H45" s="6">
        <v>40.0</v>
      </c>
      <c r="I45" s="4" t="s">
        <v>93</v>
      </c>
      <c r="J45" s="7">
        <f t="shared" si="1"/>
        <v>1</v>
      </c>
    </row>
    <row r="46">
      <c r="A46" s="4" t="s">
        <v>9</v>
      </c>
      <c r="B46" s="4" t="s">
        <v>72</v>
      </c>
      <c r="C46" s="4" t="s">
        <v>11</v>
      </c>
      <c r="D46" s="5">
        <v>0.6041666666666666</v>
      </c>
      <c r="E46" s="5">
        <v>0.6666666666666666</v>
      </c>
      <c r="F46" s="4" t="s">
        <v>94</v>
      </c>
      <c r="G46" s="4" t="s">
        <v>30</v>
      </c>
      <c r="H46" s="6">
        <v>40.0</v>
      </c>
      <c r="I46" s="4" t="s">
        <v>93</v>
      </c>
      <c r="J46" s="7">
        <f t="shared" si="1"/>
        <v>1</v>
      </c>
    </row>
    <row r="47">
      <c r="A47" s="4" t="s">
        <v>9</v>
      </c>
      <c r="B47" s="4" t="s">
        <v>72</v>
      </c>
      <c r="C47" s="4" t="s">
        <v>11</v>
      </c>
      <c r="D47" s="5">
        <v>0.6041666666666666</v>
      </c>
      <c r="E47" s="5">
        <v>0.6666666666666666</v>
      </c>
      <c r="F47" s="4" t="s">
        <v>95</v>
      </c>
      <c r="G47" s="4" t="s">
        <v>30</v>
      </c>
      <c r="H47" s="6">
        <v>38.0</v>
      </c>
      <c r="I47" s="4" t="s">
        <v>96</v>
      </c>
      <c r="J47" s="7">
        <f t="shared" si="1"/>
        <v>1</v>
      </c>
    </row>
    <row r="48">
      <c r="A48" s="4" t="s">
        <v>9</v>
      </c>
      <c r="B48" s="4" t="s">
        <v>72</v>
      </c>
      <c r="C48" s="4" t="s">
        <v>11</v>
      </c>
      <c r="D48" s="5">
        <v>0.6041666666666666</v>
      </c>
      <c r="E48" s="5">
        <v>0.6666666666666666</v>
      </c>
      <c r="F48" s="4" t="s">
        <v>97</v>
      </c>
      <c r="G48" s="4" t="s">
        <v>30</v>
      </c>
      <c r="H48" s="6">
        <v>40.0</v>
      </c>
      <c r="I48" s="4" t="s">
        <v>96</v>
      </c>
      <c r="J48" s="7">
        <f t="shared" si="1"/>
        <v>1</v>
      </c>
    </row>
    <row r="49">
      <c r="A49" s="4" t="s">
        <v>9</v>
      </c>
      <c r="B49" s="4" t="s">
        <v>98</v>
      </c>
      <c r="C49" s="4" t="s">
        <v>99</v>
      </c>
      <c r="D49" s="5">
        <v>0.3541666666666667</v>
      </c>
      <c r="E49" s="5">
        <v>0.4166666666666667</v>
      </c>
      <c r="F49" s="4" t="s">
        <v>100</v>
      </c>
      <c r="G49" s="4" t="s">
        <v>101</v>
      </c>
      <c r="H49" s="6">
        <v>40.0</v>
      </c>
      <c r="I49" s="4" t="s">
        <v>52</v>
      </c>
      <c r="J49" s="7">
        <f t="shared" si="1"/>
        <v>-1</v>
      </c>
    </row>
    <row r="50">
      <c r="A50" s="4" t="s">
        <v>9</v>
      </c>
      <c r="B50" s="4" t="s">
        <v>98</v>
      </c>
      <c r="C50" s="4" t="s">
        <v>99</v>
      </c>
      <c r="D50" s="5">
        <v>0.3541666666666667</v>
      </c>
      <c r="E50" s="5">
        <v>0.4166666666666667</v>
      </c>
      <c r="F50" s="4" t="s">
        <v>102</v>
      </c>
      <c r="G50" s="4" t="s">
        <v>101</v>
      </c>
      <c r="H50" s="6">
        <v>41.0</v>
      </c>
      <c r="I50" s="4" t="s">
        <v>52</v>
      </c>
      <c r="J50" s="7">
        <f t="shared" si="1"/>
        <v>-1</v>
      </c>
    </row>
    <row r="51">
      <c r="A51" s="4" t="s">
        <v>9</v>
      </c>
      <c r="B51" s="4" t="s">
        <v>98</v>
      </c>
      <c r="C51" s="4" t="s">
        <v>99</v>
      </c>
      <c r="D51" s="5">
        <v>0.3541666666666667</v>
      </c>
      <c r="E51" s="5">
        <v>0.4166666666666667</v>
      </c>
      <c r="F51" s="4" t="s">
        <v>103</v>
      </c>
      <c r="G51" s="4" t="s">
        <v>104</v>
      </c>
      <c r="H51" s="6">
        <v>40.0</v>
      </c>
      <c r="I51" s="4" t="s">
        <v>105</v>
      </c>
      <c r="J51" s="7">
        <f t="shared" si="1"/>
        <v>-1</v>
      </c>
    </row>
    <row r="52">
      <c r="A52" s="4" t="s">
        <v>9</v>
      </c>
      <c r="B52" s="4" t="s">
        <v>98</v>
      </c>
      <c r="C52" s="4" t="s">
        <v>99</v>
      </c>
      <c r="D52" s="5">
        <v>0.3541666666666667</v>
      </c>
      <c r="E52" s="5">
        <v>0.4166666666666667</v>
      </c>
      <c r="F52" s="4" t="s">
        <v>106</v>
      </c>
      <c r="G52" s="4" t="s">
        <v>107</v>
      </c>
      <c r="H52" s="6">
        <v>41.0</v>
      </c>
      <c r="I52" s="4" t="s">
        <v>108</v>
      </c>
      <c r="J52" s="7">
        <f t="shared" si="1"/>
        <v>-1</v>
      </c>
    </row>
    <row r="53">
      <c r="A53" s="4" t="s">
        <v>9</v>
      </c>
      <c r="B53" s="4" t="s">
        <v>98</v>
      </c>
      <c r="C53" s="4" t="s">
        <v>99</v>
      </c>
      <c r="D53" s="5">
        <v>0.3541666666666667</v>
      </c>
      <c r="E53" s="5">
        <v>0.4166666666666667</v>
      </c>
      <c r="F53" s="4" t="s">
        <v>109</v>
      </c>
      <c r="G53" s="4" t="s">
        <v>107</v>
      </c>
      <c r="H53" s="6">
        <v>41.0</v>
      </c>
      <c r="I53" s="4" t="s">
        <v>108</v>
      </c>
      <c r="J53" s="7">
        <f t="shared" si="1"/>
        <v>-1</v>
      </c>
    </row>
    <row r="54">
      <c r="A54" s="4" t="s">
        <v>9</v>
      </c>
      <c r="B54" s="4" t="s">
        <v>98</v>
      </c>
      <c r="C54" s="4" t="s">
        <v>99</v>
      </c>
      <c r="D54" s="5">
        <v>0.3541666666666667</v>
      </c>
      <c r="E54" s="5">
        <v>0.4166666666666667</v>
      </c>
      <c r="F54" s="4" t="s">
        <v>110</v>
      </c>
      <c r="G54" s="4" t="s">
        <v>107</v>
      </c>
      <c r="H54" s="6">
        <v>41.0</v>
      </c>
      <c r="I54" s="4" t="s">
        <v>108</v>
      </c>
      <c r="J54" s="7">
        <f t="shared" si="1"/>
        <v>-1</v>
      </c>
    </row>
    <row r="55">
      <c r="A55" s="4" t="s">
        <v>9</v>
      </c>
      <c r="B55" s="4" t="s">
        <v>98</v>
      </c>
      <c r="C55" s="4" t="s">
        <v>99</v>
      </c>
      <c r="D55" s="5">
        <v>0.3541666666666667</v>
      </c>
      <c r="E55" s="5">
        <v>0.4166666666666667</v>
      </c>
      <c r="F55" s="4" t="s">
        <v>111</v>
      </c>
      <c r="G55" s="4" t="s">
        <v>85</v>
      </c>
      <c r="H55" s="6">
        <v>41.0</v>
      </c>
      <c r="I55" s="4" t="s">
        <v>112</v>
      </c>
      <c r="J55" s="7">
        <f t="shared" si="1"/>
        <v>-1</v>
      </c>
    </row>
    <row r="56">
      <c r="A56" s="4" t="s">
        <v>9</v>
      </c>
      <c r="B56" s="4" t="s">
        <v>98</v>
      </c>
      <c r="C56" s="4" t="s">
        <v>99</v>
      </c>
      <c r="D56" s="5">
        <v>0.3541666666666667</v>
      </c>
      <c r="E56" s="5">
        <v>0.4166666666666667</v>
      </c>
      <c r="F56" s="4" t="s">
        <v>113</v>
      </c>
      <c r="G56" s="4" t="s">
        <v>85</v>
      </c>
      <c r="H56" s="6">
        <v>42.0</v>
      </c>
      <c r="I56" s="4" t="s">
        <v>112</v>
      </c>
      <c r="J56" s="7">
        <f t="shared" si="1"/>
        <v>-1</v>
      </c>
    </row>
    <row r="57">
      <c r="A57" s="4" t="s">
        <v>9</v>
      </c>
      <c r="B57" s="4" t="s">
        <v>98</v>
      </c>
      <c r="C57" s="4" t="s">
        <v>99</v>
      </c>
      <c r="D57" s="5">
        <v>0.3541666666666667</v>
      </c>
      <c r="E57" s="5">
        <v>0.4166666666666667</v>
      </c>
      <c r="F57" s="4" t="s">
        <v>114</v>
      </c>
      <c r="G57" s="4" t="s">
        <v>115</v>
      </c>
      <c r="H57" s="6">
        <v>30.0</v>
      </c>
      <c r="I57" s="4" t="s">
        <v>116</v>
      </c>
      <c r="J57" s="7">
        <f t="shared" si="1"/>
        <v>-1</v>
      </c>
    </row>
    <row r="58">
      <c r="A58" s="4" t="s">
        <v>9</v>
      </c>
      <c r="B58" s="4" t="s">
        <v>98</v>
      </c>
      <c r="C58" s="4" t="s">
        <v>99</v>
      </c>
      <c r="D58" s="5">
        <v>0.3541666666666667</v>
      </c>
      <c r="E58" s="5">
        <v>0.4166666666666667</v>
      </c>
      <c r="F58" s="4" t="s">
        <v>117</v>
      </c>
      <c r="G58" s="4" t="s">
        <v>115</v>
      </c>
      <c r="H58" s="6">
        <v>31.0</v>
      </c>
      <c r="I58" s="4" t="s">
        <v>118</v>
      </c>
      <c r="J58" s="7">
        <f t="shared" si="1"/>
        <v>-1</v>
      </c>
    </row>
    <row r="59">
      <c r="A59" s="4" t="s">
        <v>9</v>
      </c>
      <c r="B59" s="4" t="s">
        <v>98</v>
      </c>
      <c r="C59" s="4" t="s">
        <v>99</v>
      </c>
      <c r="D59" s="5">
        <v>0.3541666666666667</v>
      </c>
      <c r="E59" s="5">
        <v>0.4166666666666667</v>
      </c>
      <c r="F59" s="4" t="s">
        <v>119</v>
      </c>
      <c r="G59" s="4" t="s">
        <v>115</v>
      </c>
      <c r="H59" s="6">
        <v>33.0</v>
      </c>
      <c r="I59" s="4" t="s">
        <v>116</v>
      </c>
      <c r="J59" s="7">
        <f t="shared" si="1"/>
        <v>-1</v>
      </c>
    </row>
    <row r="60">
      <c r="A60" s="4" t="s">
        <v>9</v>
      </c>
      <c r="B60" s="4" t="s">
        <v>98</v>
      </c>
      <c r="C60" s="4" t="s">
        <v>99</v>
      </c>
      <c r="D60" s="5">
        <v>0.3541666666666667</v>
      </c>
      <c r="E60" s="5">
        <v>0.4166666666666667</v>
      </c>
      <c r="F60" s="4" t="s">
        <v>120</v>
      </c>
      <c r="G60" s="4" t="s">
        <v>115</v>
      </c>
      <c r="H60" s="6">
        <v>31.0</v>
      </c>
      <c r="I60" s="4" t="s">
        <v>121</v>
      </c>
      <c r="J60" s="7">
        <f t="shared" si="1"/>
        <v>-1</v>
      </c>
    </row>
    <row r="61">
      <c r="A61" s="4" t="s">
        <v>9</v>
      </c>
      <c r="B61" s="4" t="s">
        <v>98</v>
      </c>
      <c r="C61" s="4" t="s">
        <v>99</v>
      </c>
      <c r="D61" s="5">
        <v>0.3541666666666667</v>
      </c>
      <c r="E61" s="5">
        <v>0.4166666666666667</v>
      </c>
      <c r="F61" s="4" t="s">
        <v>122</v>
      </c>
      <c r="G61" s="4" t="s">
        <v>115</v>
      </c>
      <c r="H61" s="6">
        <v>31.0</v>
      </c>
      <c r="I61" s="4" t="s">
        <v>123</v>
      </c>
      <c r="J61" s="7">
        <f t="shared" si="1"/>
        <v>-1</v>
      </c>
    </row>
    <row r="62">
      <c r="A62" s="4" t="s">
        <v>9</v>
      </c>
      <c r="B62" s="4" t="s">
        <v>98</v>
      </c>
      <c r="C62" s="4" t="s">
        <v>99</v>
      </c>
      <c r="D62" s="5">
        <v>0.3541666666666667</v>
      </c>
      <c r="E62" s="5">
        <v>0.4166666666666667</v>
      </c>
      <c r="F62" s="4" t="s">
        <v>124</v>
      </c>
      <c r="G62" s="4" t="s">
        <v>115</v>
      </c>
      <c r="H62" s="6">
        <v>32.0</v>
      </c>
      <c r="I62" s="4" t="s">
        <v>121</v>
      </c>
      <c r="J62" s="7">
        <f t="shared" si="1"/>
        <v>-1</v>
      </c>
    </row>
    <row r="63">
      <c r="A63" s="4" t="s">
        <v>9</v>
      </c>
      <c r="B63" s="4" t="s">
        <v>98</v>
      </c>
      <c r="C63" s="4" t="s">
        <v>99</v>
      </c>
      <c r="D63" s="5">
        <v>0.3541666666666667</v>
      </c>
      <c r="E63" s="5">
        <v>0.4166666666666667</v>
      </c>
      <c r="F63" s="4" t="s">
        <v>125</v>
      </c>
      <c r="G63" s="4" t="s">
        <v>115</v>
      </c>
      <c r="H63" s="6">
        <v>32.0</v>
      </c>
      <c r="I63" s="4" t="s">
        <v>126</v>
      </c>
      <c r="J63" s="7">
        <f t="shared" si="1"/>
        <v>-1</v>
      </c>
    </row>
    <row r="64">
      <c r="A64" s="4" t="s">
        <v>9</v>
      </c>
      <c r="B64" s="4" t="s">
        <v>98</v>
      </c>
      <c r="C64" s="4" t="s">
        <v>99</v>
      </c>
      <c r="D64" s="5">
        <v>0.3541666666666667</v>
      </c>
      <c r="E64" s="5">
        <v>0.4166666666666667</v>
      </c>
      <c r="F64" s="4" t="s">
        <v>127</v>
      </c>
      <c r="G64" s="4" t="s">
        <v>115</v>
      </c>
      <c r="H64" s="6">
        <v>30.0</v>
      </c>
      <c r="I64" s="4" t="s">
        <v>126</v>
      </c>
      <c r="J64" s="7">
        <f t="shared" si="1"/>
        <v>-1</v>
      </c>
    </row>
    <row r="65">
      <c r="A65" s="4" t="s">
        <v>9</v>
      </c>
      <c r="B65" s="4" t="s">
        <v>98</v>
      </c>
      <c r="C65" s="4" t="s">
        <v>99</v>
      </c>
      <c r="D65" s="5">
        <v>0.3541666666666667</v>
      </c>
      <c r="E65" s="5">
        <v>0.4166666666666667</v>
      </c>
      <c r="F65" s="4" t="s">
        <v>128</v>
      </c>
      <c r="G65" s="4" t="s">
        <v>115</v>
      </c>
      <c r="H65" s="6">
        <v>31.0</v>
      </c>
      <c r="I65" s="4" t="s">
        <v>129</v>
      </c>
      <c r="J65" s="7">
        <f t="shared" si="1"/>
        <v>-1</v>
      </c>
    </row>
    <row r="66">
      <c r="A66" s="4" t="s">
        <v>9</v>
      </c>
      <c r="B66" s="4" t="s">
        <v>98</v>
      </c>
      <c r="C66" s="4" t="s">
        <v>99</v>
      </c>
      <c r="D66" s="5">
        <v>0.3541666666666667</v>
      </c>
      <c r="E66" s="5">
        <v>0.4166666666666667</v>
      </c>
      <c r="F66" s="4" t="s">
        <v>130</v>
      </c>
      <c r="G66" s="4" t="s">
        <v>115</v>
      </c>
      <c r="H66" s="6">
        <v>30.0</v>
      </c>
      <c r="I66" s="4" t="s">
        <v>126</v>
      </c>
      <c r="J66" s="7">
        <f t="shared" si="1"/>
        <v>-1</v>
      </c>
    </row>
    <row r="67">
      <c r="A67" s="4" t="s">
        <v>9</v>
      </c>
      <c r="B67" s="4" t="s">
        <v>98</v>
      </c>
      <c r="C67" s="4" t="s">
        <v>99</v>
      </c>
      <c r="D67" s="5">
        <v>0.3541666666666667</v>
      </c>
      <c r="E67" s="5">
        <v>0.4166666666666667</v>
      </c>
      <c r="F67" s="4" t="s">
        <v>131</v>
      </c>
      <c r="G67" s="4" t="s">
        <v>115</v>
      </c>
      <c r="H67" s="6">
        <v>36.0</v>
      </c>
      <c r="I67" s="4" t="s">
        <v>126</v>
      </c>
      <c r="J67" s="7">
        <f t="shared" si="1"/>
        <v>-1</v>
      </c>
    </row>
    <row r="68">
      <c r="A68" s="4" t="s">
        <v>9</v>
      </c>
      <c r="B68" s="4" t="s">
        <v>132</v>
      </c>
      <c r="C68" s="4" t="s">
        <v>99</v>
      </c>
      <c r="D68" s="5">
        <v>0.4791666666666667</v>
      </c>
      <c r="E68" s="5">
        <v>0.5416666666666666</v>
      </c>
      <c r="F68" s="4" t="s">
        <v>133</v>
      </c>
      <c r="G68" s="4" t="s">
        <v>134</v>
      </c>
      <c r="H68" s="6">
        <v>1.0</v>
      </c>
      <c r="I68" s="4" t="s">
        <v>135</v>
      </c>
      <c r="J68" s="7">
        <f t="shared" si="1"/>
        <v>1</v>
      </c>
    </row>
    <row r="69">
      <c r="A69" s="4" t="s">
        <v>9</v>
      </c>
      <c r="B69" s="4" t="s">
        <v>132</v>
      </c>
      <c r="C69" s="4" t="s">
        <v>99</v>
      </c>
      <c r="D69" s="5">
        <v>0.4791666666666667</v>
      </c>
      <c r="E69" s="5">
        <v>0.5416666666666666</v>
      </c>
      <c r="F69" s="4" t="s">
        <v>136</v>
      </c>
      <c r="G69" s="4" t="s">
        <v>42</v>
      </c>
      <c r="H69" s="6">
        <v>31.0</v>
      </c>
      <c r="I69" s="4" t="s">
        <v>137</v>
      </c>
      <c r="J69" s="7">
        <f t="shared" si="1"/>
        <v>1</v>
      </c>
    </row>
    <row r="70">
      <c r="A70" s="4" t="s">
        <v>9</v>
      </c>
      <c r="B70" s="4" t="s">
        <v>132</v>
      </c>
      <c r="C70" s="4" t="s">
        <v>99</v>
      </c>
      <c r="D70" s="5">
        <v>0.4791666666666667</v>
      </c>
      <c r="E70" s="5">
        <v>0.5416666666666666</v>
      </c>
      <c r="F70" s="4" t="s">
        <v>138</v>
      </c>
      <c r="G70" s="4" t="s">
        <v>42</v>
      </c>
      <c r="H70" s="6">
        <v>31.0</v>
      </c>
      <c r="I70" s="4" t="s">
        <v>137</v>
      </c>
      <c r="J70" s="7">
        <f t="shared" si="1"/>
        <v>1</v>
      </c>
    </row>
    <row r="71">
      <c r="A71" s="4" t="s">
        <v>9</v>
      </c>
      <c r="B71" s="4" t="s">
        <v>132</v>
      </c>
      <c r="C71" s="4" t="s">
        <v>99</v>
      </c>
      <c r="D71" s="5">
        <v>0.4791666666666667</v>
      </c>
      <c r="E71" s="5">
        <v>0.5416666666666666</v>
      </c>
      <c r="F71" s="4" t="s">
        <v>139</v>
      </c>
      <c r="G71" s="4" t="s">
        <v>42</v>
      </c>
      <c r="H71" s="6">
        <v>31.0</v>
      </c>
      <c r="I71" s="4" t="s">
        <v>137</v>
      </c>
      <c r="J71" s="7">
        <f t="shared" si="1"/>
        <v>1</v>
      </c>
    </row>
    <row r="72">
      <c r="A72" s="4" t="s">
        <v>9</v>
      </c>
      <c r="B72" s="4" t="s">
        <v>132</v>
      </c>
      <c r="C72" s="4" t="s">
        <v>99</v>
      </c>
      <c r="D72" s="5">
        <v>0.4791666666666667</v>
      </c>
      <c r="E72" s="5">
        <v>0.5416666666666666</v>
      </c>
      <c r="F72" s="4" t="s">
        <v>140</v>
      </c>
      <c r="G72" s="4" t="s">
        <v>141</v>
      </c>
      <c r="H72" s="6">
        <v>39.0</v>
      </c>
      <c r="I72" s="4" t="s">
        <v>105</v>
      </c>
      <c r="J72" s="7">
        <f t="shared" si="1"/>
        <v>1</v>
      </c>
    </row>
    <row r="73">
      <c r="A73" s="4" t="s">
        <v>9</v>
      </c>
      <c r="B73" s="4" t="s">
        <v>132</v>
      </c>
      <c r="C73" s="4" t="s">
        <v>99</v>
      </c>
      <c r="D73" s="5">
        <v>0.4791666666666667</v>
      </c>
      <c r="E73" s="5">
        <v>0.5416666666666666</v>
      </c>
      <c r="F73" s="4" t="s">
        <v>142</v>
      </c>
      <c r="G73" s="4" t="s">
        <v>141</v>
      </c>
      <c r="H73" s="6">
        <v>39.0</v>
      </c>
      <c r="I73" s="4" t="s">
        <v>105</v>
      </c>
      <c r="J73" s="7">
        <f t="shared" si="1"/>
        <v>1</v>
      </c>
    </row>
    <row r="74">
      <c r="A74" s="4" t="s">
        <v>9</v>
      </c>
      <c r="B74" s="4" t="s">
        <v>132</v>
      </c>
      <c r="C74" s="4" t="s">
        <v>99</v>
      </c>
      <c r="D74" s="5">
        <v>0.4791666666666667</v>
      </c>
      <c r="E74" s="5">
        <v>0.5416666666666666</v>
      </c>
      <c r="F74" s="4" t="s">
        <v>143</v>
      </c>
      <c r="G74" s="4" t="s">
        <v>101</v>
      </c>
      <c r="H74" s="6">
        <v>41.0</v>
      </c>
      <c r="I74" s="4" t="s">
        <v>135</v>
      </c>
      <c r="J74" s="7">
        <f t="shared" si="1"/>
        <v>1</v>
      </c>
    </row>
    <row r="75">
      <c r="A75" s="4" t="s">
        <v>9</v>
      </c>
      <c r="B75" s="4" t="s">
        <v>132</v>
      </c>
      <c r="C75" s="4" t="s">
        <v>99</v>
      </c>
      <c r="D75" s="5">
        <v>0.4791666666666667</v>
      </c>
      <c r="E75" s="5">
        <v>0.5416666666666666</v>
      </c>
      <c r="F75" s="4" t="s">
        <v>144</v>
      </c>
      <c r="G75" s="4" t="s">
        <v>101</v>
      </c>
      <c r="H75" s="6">
        <v>39.0</v>
      </c>
      <c r="I75" s="4" t="s">
        <v>135</v>
      </c>
      <c r="J75" s="7">
        <f t="shared" si="1"/>
        <v>1</v>
      </c>
    </row>
    <row r="76">
      <c r="A76" s="4" t="s">
        <v>9</v>
      </c>
      <c r="B76" s="4" t="s">
        <v>132</v>
      </c>
      <c r="C76" s="4" t="s">
        <v>99</v>
      </c>
      <c r="D76" s="5">
        <v>0.4791666666666667</v>
      </c>
      <c r="E76" s="5">
        <v>0.5416666666666666</v>
      </c>
      <c r="F76" s="4" t="s">
        <v>145</v>
      </c>
      <c r="G76" s="4" t="s">
        <v>146</v>
      </c>
      <c r="H76" s="6">
        <v>41.0</v>
      </c>
      <c r="I76" s="4" t="s">
        <v>147</v>
      </c>
      <c r="J76" s="7">
        <f t="shared" si="1"/>
        <v>1</v>
      </c>
    </row>
    <row r="77">
      <c r="A77" s="4" t="s">
        <v>9</v>
      </c>
      <c r="B77" s="4" t="s">
        <v>132</v>
      </c>
      <c r="C77" s="4" t="s">
        <v>99</v>
      </c>
      <c r="D77" s="5">
        <v>0.4791666666666667</v>
      </c>
      <c r="E77" s="5">
        <v>0.5416666666666666</v>
      </c>
      <c r="F77" s="4" t="s">
        <v>148</v>
      </c>
      <c r="G77" s="4" t="s">
        <v>146</v>
      </c>
      <c r="H77" s="6">
        <v>41.0</v>
      </c>
      <c r="I77" s="4" t="s">
        <v>147</v>
      </c>
      <c r="J77" s="7">
        <f t="shared" si="1"/>
        <v>1</v>
      </c>
    </row>
    <row r="78">
      <c r="A78" s="4" t="s">
        <v>9</v>
      </c>
      <c r="B78" s="4" t="s">
        <v>132</v>
      </c>
      <c r="C78" s="4" t="s">
        <v>99</v>
      </c>
      <c r="D78" s="5">
        <v>0.4791666666666667</v>
      </c>
      <c r="E78" s="5">
        <v>0.5416666666666666</v>
      </c>
      <c r="F78" s="4" t="s">
        <v>149</v>
      </c>
      <c r="G78" s="4" t="s">
        <v>150</v>
      </c>
      <c r="H78" s="6">
        <v>39.0</v>
      </c>
      <c r="I78" s="4" t="s">
        <v>151</v>
      </c>
      <c r="J78" s="7">
        <f t="shared" si="1"/>
        <v>1</v>
      </c>
    </row>
    <row r="79">
      <c r="A79" s="4" t="s">
        <v>9</v>
      </c>
      <c r="B79" s="4" t="s">
        <v>132</v>
      </c>
      <c r="C79" s="4" t="s">
        <v>99</v>
      </c>
      <c r="D79" s="5">
        <v>0.4791666666666667</v>
      </c>
      <c r="E79" s="5">
        <v>0.5416666666666666</v>
      </c>
      <c r="F79" s="4" t="s">
        <v>152</v>
      </c>
      <c r="G79" s="4" t="s">
        <v>150</v>
      </c>
      <c r="H79" s="6">
        <v>38.0</v>
      </c>
      <c r="I79" s="4" t="s">
        <v>151</v>
      </c>
      <c r="J79" s="7">
        <f t="shared" si="1"/>
        <v>1</v>
      </c>
    </row>
    <row r="80">
      <c r="A80" s="4" t="s">
        <v>9</v>
      </c>
      <c r="B80" s="4" t="s">
        <v>132</v>
      </c>
      <c r="C80" s="4" t="s">
        <v>99</v>
      </c>
      <c r="D80" s="5">
        <v>0.4791666666666667</v>
      </c>
      <c r="E80" s="5">
        <v>0.5416666666666666</v>
      </c>
      <c r="F80" s="4" t="s">
        <v>153</v>
      </c>
      <c r="G80" s="4" t="s">
        <v>150</v>
      </c>
      <c r="H80" s="6">
        <v>40.0</v>
      </c>
      <c r="I80" s="4" t="s">
        <v>116</v>
      </c>
      <c r="J80" s="7">
        <f t="shared" si="1"/>
        <v>1</v>
      </c>
    </row>
    <row r="81">
      <c r="A81" s="4" t="s">
        <v>9</v>
      </c>
      <c r="B81" s="4" t="s">
        <v>132</v>
      </c>
      <c r="C81" s="4" t="s">
        <v>99</v>
      </c>
      <c r="D81" s="5">
        <v>0.4791666666666667</v>
      </c>
      <c r="E81" s="5">
        <v>0.5416666666666666</v>
      </c>
      <c r="F81" s="4" t="s">
        <v>154</v>
      </c>
      <c r="G81" s="4" t="s">
        <v>150</v>
      </c>
      <c r="H81" s="6">
        <v>40.0</v>
      </c>
      <c r="I81" s="4" t="s">
        <v>123</v>
      </c>
      <c r="J81" s="7">
        <f t="shared" si="1"/>
        <v>1</v>
      </c>
    </row>
    <row r="82">
      <c r="A82" s="4" t="s">
        <v>9</v>
      </c>
      <c r="B82" s="4" t="s">
        <v>132</v>
      </c>
      <c r="C82" s="4" t="s">
        <v>99</v>
      </c>
      <c r="D82" s="5">
        <v>0.4791666666666667</v>
      </c>
      <c r="E82" s="5">
        <v>0.5416666666666666</v>
      </c>
      <c r="F82" s="4" t="s">
        <v>155</v>
      </c>
      <c r="G82" s="4" t="s">
        <v>150</v>
      </c>
      <c r="H82" s="6">
        <v>40.0</v>
      </c>
      <c r="I82" s="4" t="s">
        <v>123</v>
      </c>
      <c r="J82" s="7">
        <f t="shared" si="1"/>
        <v>1</v>
      </c>
    </row>
    <row r="83">
      <c r="A83" s="4" t="s">
        <v>9</v>
      </c>
      <c r="B83" s="4" t="s">
        <v>132</v>
      </c>
      <c r="C83" s="4" t="s">
        <v>99</v>
      </c>
      <c r="D83" s="5">
        <v>0.4791666666666667</v>
      </c>
      <c r="E83" s="5">
        <v>0.5416666666666666</v>
      </c>
      <c r="F83" s="4" t="s">
        <v>156</v>
      </c>
      <c r="G83" s="4" t="s">
        <v>150</v>
      </c>
      <c r="H83" s="6">
        <v>37.0</v>
      </c>
      <c r="I83" s="4" t="s">
        <v>129</v>
      </c>
      <c r="J83" s="7">
        <f t="shared" si="1"/>
        <v>1</v>
      </c>
    </row>
    <row r="84">
      <c r="A84" s="4" t="s">
        <v>9</v>
      </c>
      <c r="B84" s="4" t="s">
        <v>132</v>
      </c>
      <c r="C84" s="4" t="s">
        <v>99</v>
      </c>
      <c r="D84" s="5">
        <v>0.4791666666666667</v>
      </c>
      <c r="E84" s="5">
        <v>0.5416666666666666</v>
      </c>
      <c r="F84" s="4" t="s">
        <v>157</v>
      </c>
      <c r="G84" s="4" t="s">
        <v>150</v>
      </c>
      <c r="H84" s="6">
        <v>40.0</v>
      </c>
      <c r="I84" s="4" t="s">
        <v>158</v>
      </c>
      <c r="J84" s="7">
        <f t="shared" si="1"/>
        <v>1</v>
      </c>
    </row>
    <row r="85">
      <c r="A85" s="4" t="s">
        <v>9</v>
      </c>
      <c r="B85" s="4" t="s">
        <v>132</v>
      </c>
      <c r="C85" s="4" t="s">
        <v>99</v>
      </c>
      <c r="D85" s="5">
        <v>0.4791666666666667</v>
      </c>
      <c r="E85" s="5">
        <v>0.5416666666666666</v>
      </c>
      <c r="F85" s="4" t="s">
        <v>159</v>
      </c>
      <c r="G85" s="4" t="s">
        <v>150</v>
      </c>
      <c r="H85" s="6">
        <v>40.0</v>
      </c>
      <c r="I85" s="4" t="s">
        <v>116</v>
      </c>
      <c r="J85" s="7">
        <f t="shared" si="1"/>
        <v>1</v>
      </c>
    </row>
    <row r="86">
      <c r="A86" s="4" t="s">
        <v>9</v>
      </c>
      <c r="B86" s="4" t="s">
        <v>132</v>
      </c>
      <c r="C86" s="4" t="s">
        <v>99</v>
      </c>
      <c r="D86" s="5">
        <v>0.4791666666666667</v>
      </c>
      <c r="E86" s="5">
        <v>0.5416666666666666</v>
      </c>
      <c r="F86" s="4" t="s">
        <v>160</v>
      </c>
      <c r="G86" s="4" t="s">
        <v>150</v>
      </c>
      <c r="H86" s="6">
        <v>39.0</v>
      </c>
      <c r="I86" s="4" t="s">
        <v>158</v>
      </c>
      <c r="J86" s="7">
        <f t="shared" si="1"/>
        <v>1</v>
      </c>
    </row>
    <row r="87">
      <c r="A87" s="4" t="s">
        <v>9</v>
      </c>
      <c r="B87" s="4" t="s">
        <v>161</v>
      </c>
      <c r="C87" s="4" t="s">
        <v>99</v>
      </c>
      <c r="D87" s="5">
        <v>0.6041666666666666</v>
      </c>
      <c r="E87" s="5">
        <v>0.6666666666666666</v>
      </c>
      <c r="F87" s="4" t="s">
        <v>162</v>
      </c>
      <c r="G87" s="4" t="s">
        <v>141</v>
      </c>
      <c r="H87" s="6">
        <v>1.0</v>
      </c>
      <c r="I87" s="4" t="s">
        <v>43</v>
      </c>
      <c r="J87" s="7">
        <f t="shared" si="1"/>
        <v>-1</v>
      </c>
      <c r="K87" s="6">
        <v>1.0</v>
      </c>
    </row>
    <row r="88">
      <c r="A88" s="4" t="s">
        <v>9</v>
      </c>
      <c r="B88" s="4" t="s">
        <v>161</v>
      </c>
      <c r="C88" s="4" t="s">
        <v>99</v>
      </c>
      <c r="D88" s="5">
        <v>0.6041666666666666</v>
      </c>
      <c r="E88" s="5">
        <v>0.6666666666666666</v>
      </c>
      <c r="F88" s="4" t="s">
        <v>163</v>
      </c>
      <c r="G88" s="4" t="s">
        <v>141</v>
      </c>
      <c r="H88" s="6">
        <v>34.0</v>
      </c>
      <c r="I88" s="4" t="s">
        <v>43</v>
      </c>
      <c r="J88" s="7">
        <f t="shared" si="1"/>
        <v>-1</v>
      </c>
      <c r="K88" s="6">
        <v>34.0</v>
      </c>
    </row>
    <row r="89">
      <c r="A89" s="4" t="s">
        <v>9</v>
      </c>
      <c r="B89" s="4" t="s">
        <v>161</v>
      </c>
      <c r="C89" s="4" t="s">
        <v>99</v>
      </c>
      <c r="D89" s="5">
        <v>0.6041666666666666</v>
      </c>
      <c r="E89" s="5">
        <v>0.6666666666666666</v>
      </c>
      <c r="F89" s="4" t="s">
        <v>164</v>
      </c>
      <c r="G89" s="4" t="s">
        <v>141</v>
      </c>
      <c r="H89" s="6">
        <v>22.0</v>
      </c>
      <c r="I89" s="4" t="s">
        <v>43</v>
      </c>
      <c r="J89" s="7">
        <f t="shared" si="1"/>
        <v>-1</v>
      </c>
      <c r="K89" s="6">
        <v>22.0</v>
      </c>
    </row>
    <row r="90">
      <c r="A90" s="4" t="s">
        <v>9</v>
      </c>
      <c r="B90" s="4" t="s">
        <v>161</v>
      </c>
      <c r="C90" s="4" t="s">
        <v>99</v>
      </c>
      <c r="D90" s="5">
        <v>0.6041666666666666</v>
      </c>
      <c r="E90" s="5">
        <v>0.6666666666666666</v>
      </c>
      <c r="F90" s="4" t="s">
        <v>165</v>
      </c>
      <c r="G90" s="4" t="s">
        <v>141</v>
      </c>
      <c r="H90" s="6">
        <v>38.0</v>
      </c>
      <c r="I90" s="4" t="s">
        <v>166</v>
      </c>
      <c r="J90" s="7">
        <f t="shared" si="1"/>
        <v>-1</v>
      </c>
      <c r="K90" s="6">
        <v>38.0</v>
      </c>
    </row>
    <row r="91">
      <c r="A91" s="4" t="s">
        <v>9</v>
      </c>
      <c r="B91" s="4" t="s">
        <v>161</v>
      </c>
      <c r="C91" s="4" t="s">
        <v>99</v>
      </c>
      <c r="D91" s="5">
        <v>0.6041666666666666</v>
      </c>
      <c r="E91" s="5">
        <v>0.6666666666666666</v>
      </c>
      <c r="F91" s="4" t="s">
        <v>167</v>
      </c>
      <c r="G91" s="4" t="s">
        <v>107</v>
      </c>
      <c r="H91" s="6">
        <v>40.0</v>
      </c>
      <c r="I91" s="4" t="s">
        <v>168</v>
      </c>
      <c r="J91" s="7">
        <f t="shared" si="1"/>
        <v>-1</v>
      </c>
      <c r="K91" s="6">
        <v>40.0</v>
      </c>
    </row>
    <row r="92">
      <c r="A92" s="4" t="s">
        <v>9</v>
      </c>
      <c r="B92" s="4" t="s">
        <v>161</v>
      </c>
      <c r="C92" s="4" t="s">
        <v>99</v>
      </c>
      <c r="D92" s="5">
        <v>0.6041666666666666</v>
      </c>
      <c r="E92" s="5">
        <v>0.6666666666666666</v>
      </c>
      <c r="F92" s="4" t="s">
        <v>169</v>
      </c>
      <c r="G92" s="4" t="s">
        <v>107</v>
      </c>
      <c r="H92" s="6">
        <v>40.0</v>
      </c>
      <c r="I92" s="4" t="s">
        <v>168</v>
      </c>
      <c r="J92" s="7">
        <f t="shared" si="1"/>
        <v>-1</v>
      </c>
      <c r="K92" s="6">
        <v>40.0</v>
      </c>
    </row>
    <row r="93">
      <c r="A93" s="4" t="s">
        <v>9</v>
      </c>
      <c r="B93" s="4" t="s">
        <v>161</v>
      </c>
      <c r="C93" s="4" t="s">
        <v>99</v>
      </c>
      <c r="D93" s="5">
        <v>0.6041666666666666</v>
      </c>
      <c r="E93" s="5">
        <v>0.6666666666666666</v>
      </c>
      <c r="F93" s="4" t="s">
        <v>170</v>
      </c>
      <c r="G93" s="4" t="s">
        <v>107</v>
      </c>
      <c r="H93" s="6">
        <v>41.0</v>
      </c>
      <c r="I93" s="4" t="s">
        <v>168</v>
      </c>
      <c r="J93" s="7">
        <f t="shared" si="1"/>
        <v>-1</v>
      </c>
      <c r="K93" s="6">
        <v>41.0</v>
      </c>
    </row>
    <row r="94">
      <c r="A94" s="4" t="s">
        <v>9</v>
      </c>
      <c r="B94" s="4" t="s">
        <v>161</v>
      </c>
      <c r="C94" s="4" t="s">
        <v>99</v>
      </c>
      <c r="D94" s="5">
        <v>0.6041666666666666</v>
      </c>
      <c r="E94" s="5">
        <v>0.6666666666666666</v>
      </c>
      <c r="F94" s="4" t="s">
        <v>171</v>
      </c>
      <c r="G94" s="4" t="s">
        <v>172</v>
      </c>
      <c r="H94" s="6">
        <v>28.0</v>
      </c>
      <c r="I94" s="4" t="s">
        <v>173</v>
      </c>
      <c r="J94" s="7">
        <f t="shared" si="1"/>
        <v>-1</v>
      </c>
      <c r="K94" s="6">
        <v>28.0</v>
      </c>
    </row>
    <row r="95">
      <c r="A95" s="4" t="s">
        <v>9</v>
      </c>
      <c r="B95" s="4" t="s">
        <v>161</v>
      </c>
      <c r="C95" s="4" t="s">
        <v>99</v>
      </c>
      <c r="D95" s="5">
        <v>0.6041666666666666</v>
      </c>
      <c r="E95" s="5">
        <v>0.6666666666666666</v>
      </c>
      <c r="F95" s="4" t="s">
        <v>174</v>
      </c>
      <c r="G95" s="4" t="s">
        <v>172</v>
      </c>
      <c r="H95" s="6">
        <v>40.0</v>
      </c>
      <c r="I95" s="4" t="s">
        <v>173</v>
      </c>
      <c r="J95" s="7">
        <f t="shared" si="1"/>
        <v>-1</v>
      </c>
      <c r="K95" s="6">
        <v>40.0</v>
      </c>
    </row>
    <row r="96">
      <c r="A96" s="4" t="s">
        <v>9</v>
      </c>
      <c r="B96" s="4" t="s">
        <v>161</v>
      </c>
      <c r="C96" s="4" t="s">
        <v>99</v>
      </c>
      <c r="D96" s="5">
        <v>0.6041666666666666</v>
      </c>
      <c r="E96" s="5">
        <v>0.6666666666666666</v>
      </c>
      <c r="F96" s="4" t="s">
        <v>175</v>
      </c>
      <c r="G96" s="4" t="s">
        <v>115</v>
      </c>
      <c r="H96" s="6">
        <v>40.0</v>
      </c>
      <c r="I96" s="4" t="s">
        <v>158</v>
      </c>
      <c r="J96" s="7">
        <f t="shared" si="1"/>
        <v>-1</v>
      </c>
      <c r="K96" s="6">
        <v>40.0</v>
      </c>
    </row>
    <row r="97">
      <c r="A97" s="4" t="s">
        <v>9</v>
      </c>
      <c r="B97" s="4" t="s">
        <v>161</v>
      </c>
      <c r="C97" s="4" t="s">
        <v>99</v>
      </c>
      <c r="D97" s="5">
        <v>0.6041666666666666</v>
      </c>
      <c r="E97" s="5">
        <v>0.6666666666666666</v>
      </c>
      <c r="F97" s="4" t="s">
        <v>176</v>
      </c>
      <c r="G97" s="4" t="s">
        <v>115</v>
      </c>
      <c r="H97" s="6">
        <v>36.0</v>
      </c>
      <c r="I97" s="4" t="s">
        <v>177</v>
      </c>
      <c r="J97" s="7">
        <f t="shared" si="1"/>
        <v>-1</v>
      </c>
      <c r="K97" s="6">
        <v>36.0</v>
      </c>
    </row>
    <row r="98">
      <c r="A98" s="4" t="s">
        <v>9</v>
      </c>
      <c r="B98" s="4" t="s">
        <v>161</v>
      </c>
      <c r="C98" s="4" t="s">
        <v>99</v>
      </c>
      <c r="D98" s="5">
        <v>0.6041666666666666</v>
      </c>
      <c r="E98" s="5">
        <v>0.6666666666666666</v>
      </c>
      <c r="F98" s="4" t="s">
        <v>178</v>
      </c>
      <c r="G98" s="4" t="s">
        <v>115</v>
      </c>
      <c r="H98" s="6">
        <v>40.0</v>
      </c>
      <c r="I98" s="4" t="s">
        <v>177</v>
      </c>
      <c r="J98" s="7">
        <f t="shared" si="1"/>
        <v>-1</v>
      </c>
      <c r="K98" s="6">
        <v>40.0</v>
      </c>
    </row>
    <row r="99">
      <c r="A99" s="4" t="s">
        <v>9</v>
      </c>
      <c r="B99" s="4" t="s">
        <v>161</v>
      </c>
      <c r="C99" s="4" t="s">
        <v>99</v>
      </c>
      <c r="D99" s="5">
        <v>0.6041666666666666</v>
      </c>
      <c r="E99" s="5">
        <v>0.6666666666666666</v>
      </c>
      <c r="F99" s="4" t="s">
        <v>179</v>
      </c>
      <c r="G99" s="4" t="s">
        <v>115</v>
      </c>
      <c r="H99" s="6">
        <v>40.0</v>
      </c>
      <c r="I99" s="4" t="s">
        <v>180</v>
      </c>
      <c r="J99" s="7">
        <f t="shared" si="1"/>
        <v>-1</v>
      </c>
      <c r="K99" s="6">
        <v>40.0</v>
      </c>
    </row>
    <row r="100">
      <c r="A100" s="4" t="s">
        <v>9</v>
      </c>
      <c r="B100" s="4" t="s">
        <v>161</v>
      </c>
      <c r="C100" s="4" t="s">
        <v>99</v>
      </c>
      <c r="D100" s="5">
        <v>0.6041666666666666</v>
      </c>
      <c r="E100" s="5">
        <v>0.6666666666666666</v>
      </c>
      <c r="F100" s="4" t="s">
        <v>181</v>
      </c>
      <c r="G100" s="4" t="s">
        <v>115</v>
      </c>
      <c r="H100" s="6">
        <v>39.0</v>
      </c>
      <c r="I100" s="4" t="s">
        <v>182</v>
      </c>
      <c r="J100" s="7">
        <f t="shared" si="1"/>
        <v>-1</v>
      </c>
      <c r="K100" s="6">
        <v>39.0</v>
      </c>
    </row>
    <row r="101">
      <c r="A101" s="4" t="s">
        <v>9</v>
      </c>
      <c r="B101" s="4" t="s">
        <v>161</v>
      </c>
      <c r="C101" s="4" t="s">
        <v>99</v>
      </c>
      <c r="D101" s="5">
        <v>0.6041666666666666</v>
      </c>
      <c r="E101" s="5">
        <v>0.6666666666666666</v>
      </c>
      <c r="F101" s="4" t="s">
        <v>183</v>
      </c>
      <c r="G101" s="4" t="s">
        <v>115</v>
      </c>
      <c r="H101" s="6">
        <v>39.0</v>
      </c>
      <c r="I101" s="4" t="s">
        <v>180</v>
      </c>
      <c r="J101" s="7">
        <f t="shared" si="1"/>
        <v>-1</v>
      </c>
      <c r="K101" s="6">
        <v>39.0</v>
      </c>
    </row>
    <row r="102">
      <c r="A102" s="4" t="s">
        <v>9</v>
      </c>
      <c r="B102" s="4" t="s">
        <v>161</v>
      </c>
      <c r="C102" s="4" t="s">
        <v>99</v>
      </c>
      <c r="D102" s="5">
        <v>0.6041666666666666</v>
      </c>
      <c r="E102" s="5">
        <v>0.6666666666666666</v>
      </c>
      <c r="F102" s="4" t="s">
        <v>184</v>
      </c>
      <c r="G102" s="4" t="s">
        <v>115</v>
      </c>
      <c r="H102" s="6">
        <v>34.0</v>
      </c>
      <c r="I102" s="4" t="s">
        <v>185</v>
      </c>
      <c r="J102" s="7">
        <f t="shared" si="1"/>
        <v>-1</v>
      </c>
      <c r="K102" s="6">
        <v>34.0</v>
      </c>
    </row>
    <row r="103">
      <c r="A103" s="4" t="s">
        <v>9</v>
      </c>
      <c r="B103" s="4" t="s">
        <v>161</v>
      </c>
      <c r="C103" s="4" t="s">
        <v>99</v>
      </c>
      <c r="D103" s="5">
        <v>0.6041666666666666</v>
      </c>
      <c r="E103" s="5">
        <v>0.6666666666666666</v>
      </c>
      <c r="F103" s="4" t="s">
        <v>186</v>
      </c>
      <c r="G103" s="4" t="s">
        <v>115</v>
      </c>
      <c r="H103" s="6">
        <v>38.0</v>
      </c>
      <c r="I103" s="4" t="s">
        <v>185</v>
      </c>
      <c r="J103" s="7">
        <f t="shared" si="1"/>
        <v>-1</v>
      </c>
      <c r="K103" s="6">
        <v>38.0</v>
      </c>
    </row>
    <row r="104">
      <c r="A104" s="4" t="s">
        <v>9</v>
      </c>
      <c r="B104" s="4" t="s">
        <v>161</v>
      </c>
      <c r="C104" s="4" t="s">
        <v>99</v>
      </c>
      <c r="D104" s="5">
        <v>0.6041666666666666</v>
      </c>
      <c r="E104" s="5">
        <v>0.6666666666666666</v>
      </c>
      <c r="F104" s="4" t="s">
        <v>187</v>
      </c>
      <c r="G104" s="4" t="s">
        <v>115</v>
      </c>
      <c r="H104" s="6">
        <v>39.0</v>
      </c>
      <c r="I104" s="4" t="s">
        <v>188</v>
      </c>
      <c r="J104" s="7">
        <f t="shared" si="1"/>
        <v>-1</v>
      </c>
      <c r="K104" s="6">
        <v>39.0</v>
      </c>
    </row>
    <row r="105">
      <c r="A105" s="4" t="s">
        <v>9</v>
      </c>
      <c r="B105" s="4" t="s">
        <v>161</v>
      </c>
      <c r="C105" s="4" t="s">
        <v>99</v>
      </c>
      <c r="D105" s="5">
        <v>0.6041666666666666</v>
      </c>
      <c r="E105" s="5">
        <v>0.6666666666666666</v>
      </c>
      <c r="F105" s="4" t="s">
        <v>189</v>
      </c>
      <c r="G105" s="4" t="s">
        <v>115</v>
      </c>
      <c r="H105" s="6">
        <v>38.0</v>
      </c>
      <c r="I105" s="4" t="s">
        <v>188</v>
      </c>
      <c r="J105" s="7">
        <f t="shared" si="1"/>
        <v>-1</v>
      </c>
      <c r="K105" s="6">
        <v>38.0</v>
      </c>
    </row>
    <row r="106">
      <c r="A106" s="4" t="s">
        <v>9</v>
      </c>
      <c r="B106" s="4" t="s">
        <v>190</v>
      </c>
      <c r="C106" s="4" t="s">
        <v>191</v>
      </c>
      <c r="D106" s="5">
        <v>0.3541666666666667</v>
      </c>
      <c r="E106" s="5">
        <v>0.4166666666666667</v>
      </c>
      <c r="F106" s="4" t="s">
        <v>192</v>
      </c>
      <c r="G106" s="4" t="s">
        <v>193</v>
      </c>
      <c r="H106" s="6">
        <v>42.0</v>
      </c>
      <c r="I106" s="4" t="s">
        <v>194</v>
      </c>
      <c r="J106" s="7">
        <f t="shared" si="1"/>
        <v>1</v>
      </c>
    </row>
    <row r="107">
      <c r="A107" s="4" t="s">
        <v>9</v>
      </c>
      <c r="B107" s="4" t="s">
        <v>190</v>
      </c>
      <c r="C107" s="4" t="s">
        <v>191</v>
      </c>
      <c r="D107" s="5">
        <v>0.3541666666666667</v>
      </c>
      <c r="E107" s="5">
        <v>0.4166666666666667</v>
      </c>
      <c r="F107" s="4" t="s">
        <v>195</v>
      </c>
      <c r="G107" s="4" t="s">
        <v>196</v>
      </c>
      <c r="H107" s="6">
        <v>39.0</v>
      </c>
      <c r="I107" s="4" t="s">
        <v>197</v>
      </c>
      <c r="J107" s="7">
        <f t="shared" si="1"/>
        <v>1</v>
      </c>
    </row>
    <row r="108">
      <c r="A108" s="4" t="s">
        <v>9</v>
      </c>
      <c r="B108" s="4" t="s">
        <v>190</v>
      </c>
      <c r="C108" s="4" t="s">
        <v>191</v>
      </c>
      <c r="D108" s="5">
        <v>0.3541666666666667</v>
      </c>
      <c r="E108" s="5">
        <v>0.4166666666666667</v>
      </c>
      <c r="F108" s="4" t="s">
        <v>198</v>
      </c>
      <c r="G108" s="4" t="s">
        <v>13</v>
      </c>
      <c r="H108" s="6">
        <v>36.0</v>
      </c>
      <c r="I108" s="4" t="s">
        <v>199</v>
      </c>
      <c r="J108" s="7">
        <f t="shared" si="1"/>
        <v>1</v>
      </c>
    </row>
    <row r="109">
      <c r="A109" s="4" t="s">
        <v>9</v>
      </c>
      <c r="B109" s="4" t="s">
        <v>190</v>
      </c>
      <c r="C109" s="4" t="s">
        <v>191</v>
      </c>
      <c r="D109" s="5">
        <v>0.3541666666666667</v>
      </c>
      <c r="E109" s="5">
        <v>0.4166666666666667</v>
      </c>
      <c r="F109" s="4" t="s">
        <v>200</v>
      </c>
      <c r="G109" s="4" t="s">
        <v>13</v>
      </c>
      <c r="H109" s="6">
        <v>42.0</v>
      </c>
      <c r="I109" s="4" t="s">
        <v>199</v>
      </c>
      <c r="J109" s="7">
        <f t="shared" si="1"/>
        <v>1</v>
      </c>
    </row>
    <row r="110">
      <c r="A110" s="4" t="s">
        <v>9</v>
      </c>
      <c r="B110" s="4" t="s">
        <v>190</v>
      </c>
      <c r="C110" s="4" t="s">
        <v>191</v>
      </c>
      <c r="D110" s="5">
        <v>0.3541666666666667</v>
      </c>
      <c r="E110" s="5">
        <v>0.4166666666666667</v>
      </c>
      <c r="F110" s="4" t="s">
        <v>201</v>
      </c>
      <c r="G110" s="4" t="s">
        <v>85</v>
      </c>
      <c r="H110" s="6">
        <v>42.0</v>
      </c>
      <c r="I110" s="4" t="s">
        <v>202</v>
      </c>
      <c r="J110" s="7">
        <f t="shared" si="1"/>
        <v>1</v>
      </c>
    </row>
    <row r="111">
      <c r="A111" s="4" t="s">
        <v>9</v>
      </c>
      <c r="B111" s="4" t="s">
        <v>190</v>
      </c>
      <c r="C111" s="4" t="s">
        <v>191</v>
      </c>
      <c r="D111" s="5">
        <v>0.3541666666666667</v>
      </c>
      <c r="E111" s="5">
        <v>0.4166666666666667</v>
      </c>
      <c r="F111" s="4" t="s">
        <v>203</v>
      </c>
      <c r="G111" s="4" t="s">
        <v>85</v>
      </c>
      <c r="H111" s="6">
        <v>40.0</v>
      </c>
      <c r="I111" s="4" t="s">
        <v>202</v>
      </c>
      <c r="J111" s="7">
        <f t="shared" si="1"/>
        <v>1</v>
      </c>
    </row>
    <row r="112">
      <c r="A112" s="4" t="s">
        <v>9</v>
      </c>
      <c r="B112" s="4" t="s">
        <v>190</v>
      </c>
      <c r="C112" s="4" t="s">
        <v>191</v>
      </c>
      <c r="D112" s="5">
        <v>0.3541666666666667</v>
      </c>
      <c r="E112" s="5">
        <v>0.4166666666666667</v>
      </c>
      <c r="F112" s="4" t="s">
        <v>204</v>
      </c>
      <c r="G112" s="4" t="s">
        <v>85</v>
      </c>
      <c r="H112" s="6">
        <v>42.0</v>
      </c>
      <c r="I112" s="4" t="s">
        <v>205</v>
      </c>
      <c r="J112" s="7">
        <f t="shared" si="1"/>
        <v>1</v>
      </c>
    </row>
    <row r="113">
      <c r="A113" s="4" t="s">
        <v>9</v>
      </c>
      <c r="B113" s="4" t="s">
        <v>190</v>
      </c>
      <c r="C113" s="4" t="s">
        <v>191</v>
      </c>
      <c r="D113" s="5">
        <v>0.3541666666666667</v>
      </c>
      <c r="E113" s="5">
        <v>0.4166666666666667</v>
      </c>
      <c r="F113" s="4" t="s">
        <v>206</v>
      </c>
      <c r="G113" s="4" t="s">
        <v>207</v>
      </c>
      <c r="H113" s="6">
        <v>30.0</v>
      </c>
      <c r="I113" s="4" t="s">
        <v>208</v>
      </c>
      <c r="J113" s="7">
        <f t="shared" si="1"/>
        <v>1</v>
      </c>
    </row>
    <row r="114">
      <c r="A114" s="4" t="s">
        <v>9</v>
      </c>
      <c r="B114" s="4" t="s">
        <v>190</v>
      </c>
      <c r="C114" s="4" t="s">
        <v>191</v>
      </c>
      <c r="D114" s="5">
        <v>0.3541666666666667</v>
      </c>
      <c r="E114" s="5">
        <v>0.4166666666666667</v>
      </c>
      <c r="F114" s="4" t="s">
        <v>209</v>
      </c>
      <c r="G114" s="4" t="s">
        <v>207</v>
      </c>
      <c r="H114" s="6">
        <v>31.0</v>
      </c>
      <c r="I114" s="4" t="s">
        <v>208</v>
      </c>
      <c r="J114" s="7">
        <f t="shared" si="1"/>
        <v>1</v>
      </c>
    </row>
    <row r="115">
      <c r="A115" s="4" t="s">
        <v>9</v>
      </c>
      <c r="B115" s="4" t="s">
        <v>190</v>
      </c>
      <c r="C115" s="4" t="s">
        <v>191</v>
      </c>
      <c r="D115" s="5">
        <v>0.3541666666666667</v>
      </c>
      <c r="E115" s="5">
        <v>0.4166666666666667</v>
      </c>
      <c r="F115" s="4" t="s">
        <v>210</v>
      </c>
      <c r="G115" s="4" t="s">
        <v>207</v>
      </c>
      <c r="H115" s="6">
        <v>31.0</v>
      </c>
      <c r="I115" s="4" t="s">
        <v>208</v>
      </c>
      <c r="J115" s="7">
        <f t="shared" si="1"/>
        <v>1</v>
      </c>
    </row>
    <row r="116">
      <c r="A116" s="4" t="s">
        <v>9</v>
      </c>
      <c r="B116" s="4" t="s">
        <v>190</v>
      </c>
      <c r="C116" s="4" t="s">
        <v>191</v>
      </c>
      <c r="D116" s="5">
        <v>0.3541666666666667</v>
      </c>
      <c r="E116" s="5">
        <v>0.4166666666666667</v>
      </c>
      <c r="F116" s="4" t="s">
        <v>211</v>
      </c>
      <c r="G116" s="4" t="s">
        <v>212</v>
      </c>
      <c r="H116" s="6">
        <v>42.0</v>
      </c>
      <c r="I116" s="4" t="s">
        <v>213</v>
      </c>
      <c r="J116" s="7">
        <f t="shared" si="1"/>
        <v>1</v>
      </c>
    </row>
    <row r="117">
      <c r="A117" s="4" t="s">
        <v>9</v>
      </c>
      <c r="B117" s="4" t="s">
        <v>190</v>
      </c>
      <c r="C117" s="4" t="s">
        <v>191</v>
      </c>
      <c r="D117" s="5">
        <v>0.3541666666666667</v>
      </c>
      <c r="E117" s="5">
        <v>0.4166666666666667</v>
      </c>
      <c r="F117" s="4" t="s">
        <v>214</v>
      </c>
      <c r="G117" s="4" t="s">
        <v>212</v>
      </c>
      <c r="H117" s="6">
        <v>41.0</v>
      </c>
      <c r="I117" s="4" t="s">
        <v>213</v>
      </c>
      <c r="J117" s="7">
        <f t="shared" si="1"/>
        <v>1</v>
      </c>
    </row>
    <row r="118">
      <c r="A118" s="4" t="s">
        <v>9</v>
      </c>
      <c r="B118" s="4" t="s">
        <v>190</v>
      </c>
      <c r="C118" s="4" t="s">
        <v>191</v>
      </c>
      <c r="D118" s="5">
        <v>0.3541666666666667</v>
      </c>
      <c r="E118" s="5">
        <v>0.4166666666666667</v>
      </c>
      <c r="F118" s="4" t="s">
        <v>215</v>
      </c>
      <c r="G118" s="4" t="s">
        <v>212</v>
      </c>
      <c r="H118" s="6">
        <v>42.0</v>
      </c>
      <c r="I118" s="4" t="s">
        <v>89</v>
      </c>
      <c r="J118" s="7">
        <f t="shared" si="1"/>
        <v>1</v>
      </c>
    </row>
    <row r="119">
      <c r="A119" s="4" t="s">
        <v>9</v>
      </c>
      <c r="B119" s="4" t="s">
        <v>190</v>
      </c>
      <c r="C119" s="4" t="s">
        <v>191</v>
      </c>
      <c r="D119" s="5">
        <v>0.3541666666666667</v>
      </c>
      <c r="E119" s="5">
        <v>0.4166666666666667</v>
      </c>
      <c r="F119" s="4" t="s">
        <v>216</v>
      </c>
      <c r="G119" s="4" t="s">
        <v>88</v>
      </c>
      <c r="H119" s="6">
        <v>40.0</v>
      </c>
      <c r="I119" s="4" t="s">
        <v>217</v>
      </c>
      <c r="J119" s="7">
        <f t="shared" si="1"/>
        <v>1</v>
      </c>
    </row>
    <row r="120">
      <c r="A120" s="4" t="s">
        <v>9</v>
      </c>
      <c r="B120" s="4" t="s">
        <v>218</v>
      </c>
      <c r="C120" s="4" t="s">
        <v>191</v>
      </c>
      <c r="D120" s="5">
        <v>0.4791666666666667</v>
      </c>
      <c r="E120" s="5">
        <v>0.5416666666666666</v>
      </c>
      <c r="F120" s="4" t="s">
        <v>219</v>
      </c>
      <c r="G120" s="4" t="s">
        <v>220</v>
      </c>
      <c r="H120" s="6">
        <v>40.0</v>
      </c>
      <c r="I120" s="4" t="s">
        <v>221</v>
      </c>
      <c r="J120" s="7">
        <f t="shared" si="1"/>
        <v>-1</v>
      </c>
    </row>
    <row r="121">
      <c r="A121" s="4" t="s">
        <v>9</v>
      </c>
      <c r="B121" s="4" t="s">
        <v>218</v>
      </c>
      <c r="C121" s="4" t="s">
        <v>191</v>
      </c>
      <c r="D121" s="5">
        <v>0.4791666666666667</v>
      </c>
      <c r="E121" s="5">
        <v>0.5416666666666666</v>
      </c>
      <c r="F121" s="4" t="s">
        <v>222</v>
      </c>
      <c r="G121" s="4" t="s">
        <v>220</v>
      </c>
      <c r="H121" s="6">
        <v>40.0</v>
      </c>
      <c r="I121" s="4" t="s">
        <v>221</v>
      </c>
      <c r="J121" s="7">
        <f t="shared" si="1"/>
        <v>-1</v>
      </c>
    </row>
    <row r="122">
      <c r="A122" s="4" t="s">
        <v>9</v>
      </c>
      <c r="B122" s="4" t="s">
        <v>218</v>
      </c>
      <c r="C122" s="4" t="s">
        <v>191</v>
      </c>
      <c r="D122" s="5">
        <v>0.4791666666666667</v>
      </c>
      <c r="E122" s="5">
        <v>0.5416666666666666</v>
      </c>
      <c r="F122" s="4" t="s">
        <v>223</v>
      </c>
      <c r="G122" s="4" t="s">
        <v>220</v>
      </c>
      <c r="H122" s="6">
        <v>39.0</v>
      </c>
      <c r="I122" s="4" t="s">
        <v>224</v>
      </c>
      <c r="J122" s="7">
        <f t="shared" si="1"/>
        <v>-1</v>
      </c>
    </row>
    <row r="123">
      <c r="A123" s="4" t="s">
        <v>9</v>
      </c>
      <c r="B123" s="4" t="s">
        <v>218</v>
      </c>
      <c r="C123" s="4" t="s">
        <v>191</v>
      </c>
      <c r="D123" s="5">
        <v>0.4791666666666667</v>
      </c>
      <c r="E123" s="5">
        <v>0.5416666666666666</v>
      </c>
      <c r="F123" s="4" t="s">
        <v>225</v>
      </c>
      <c r="G123" s="4" t="s">
        <v>220</v>
      </c>
      <c r="H123" s="6">
        <v>33.0</v>
      </c>
      <c r="I123" s="4" t="s">
        <v>224</v>
      </c>
      <c r="J123" s="7">
        <f t="shared" si="1"/>
        <v>-1</v>
      </c>
    </row>
    <row r="124">
      <c r="A124" s="4" t="s">
        <v>9</v>
      </c>
      <c r="B124" s="4" t="s">
        <v>218</v>
      </c>
      <c r="C124" s="4" t="s">
        <v>191</v>
      </c>
      <c r="D124" s="5">
        <v>0.4791666666666667</v>
      </c>
      <c r="E124" s="5">
        <v>0.5416666666666666</v>
      </c>
      <c r="F124" s="4" t="s">
        <v>226</v>
      </c>
      <c r="G124" s="4" t="s">
        <v>220</v>
      </c>
      <c r="H124" s="6">
        <v>39.0</v>
      </c>
      <c r="I124" s="4" t="s">
        <v>227</v>
      </c>
      <c r="J124" s="7">
        <f t="shared" si="1"/>
        <v>-1</v>
      </c>
    </row>
    <row r="125">
      <c r="A125" s="4" t="s">
        <v>9</v>
      </c>
      <c r="B125" s="4" t="s">
        <v>218</v>
      </c>
      <c r="C125" s="4" t="s">
        <v>191</v>
      </c>
      <c r="D125" s="5">
        <v>0.4791666666666667</v>
      </c>
      <c r="E125" s="5">
        <v>0.5416666666666666</v>
      </c>
      <c r="F125" s="4" t="s">
        <v>228</v>
      </c>
      <c r="G125" s="4" t="s">
        <v>220</v>
      </c>
      <c r="H125" s="6">
        <v>38.0</v>
      </c>
      <c r="I125" s="4" t="s">
        <v>229</v>
      </c>
      <c r="J125" s="7">
        <f t="shared" si="1"/>
        <v>-1</v>
      </c>
    </row>
    <row r="126">
      <c r="A126" s="4" t="s">
        <v>9</v>
      </c>
      <c r="B126" s="4" t="s">
        <v>218</v>
      </c>
      <c r="C126" s="4" t="s">
        <v>191</v>
      </c>
      <c r="D126" s="5">
        <v>0.4791666666666667</v>
      </c>
      <c r="E126" s="5">
        <v>0.5416666666666666</v>
      </c>
      <c r="F126" s="4" t="s">
        <v>230</v>
      </c>
      <c r="G126" s="4" t="s">
        <v>220</v>
      </c>
      <c r="H126" s="6">
        <v>39.0</v>
      </c>
      <c r="I126" s="4" t="s">
        <v>229</v>
      </c>
      <c r="J126" s="7">
        <f t="shared" si="1"/>
        <v>-1</v>
      </c>
    </row>
    <row r="127">
      <c r="A127" s="4" t="s">
        <v>9</v>
      </c>
      <c r="B127" s="4" t="s">
        <v>218</v>
      </c>
      <c r="C127" s="4" t="s">
        <v>191</v>
      </c>
      <c r="D127" s="5">
        <v>0.4791666666666667</v>
      </c>
      <c r="E127" s="5">
        <v>0.5416666666666666</v>
      </c>
      <c r="F127" s="4" t="s">
        <v>231</v>
      </c>
      <c r="G127" s="4" t="s">
        <v>232</v>
      </c>
      <c r="H127" s="6">
        <v>41.0</v>
      </c>
      <c r="I127" s="4" t="s">
        <v>233</v>
      </c>
      <c r="J127" s="7">
        <f t="shared" si="1"/>
        <v>-1</v>
      </c>
    </row>
    <row r="128">
      <c r="A128" s="4" t="s">
        <v>9</v>
      </c>
      <c r="B128" s="4" t="s">
        <v>218</v>
      </c>
      <c r="C128" s="4" t="s">
        <v>191</v>
      </c>
      <c r="D128" s="5">
        <v>0.4791666666666667</v>
      </c>
      <c r="E128" s="5">
        <v>0.5416666666666666</v>
      </c>
      <c r="F128" s="4" t="s">
        <v>234</v>
      </c>
      <c r="G128" s="4" t="s">
        <v>232</v>
      </c>
      <c r="H128" s="6">
        <v>39.0</v>
      </c>
      <c r="I128" s="4" t="s">
        <v>233</v>
      </c>
      <c r="J128" s="7">
        <f t="shared" si="1"/>
        <v>-1</v>
      </c>
    </row>
    <row r="129">
      <c r="A129" s="4" t="s">
        <v>9</v>
      </c>
      <c r="B129" s="4" t="s">
        <v>218</v>
      </c>
      <c r="C129" s="4" t="s">
        <v>191</v>
      </c>
      <c r="D129" s="5">
        <v>0.4791666666666667</v>
      </c>
      <c r="E129" s="5">
        <v>0.5416666666666666</v>
      </c>
      <c r="F129" s="4" t="s">
        <v>235</v>
      </c>
      <c r="G129" s="4" t="s">
        <v>236</v>
      </c>
      <c r="H129" s="6">
        <v>40.0</v>
      </c>
      <c r="I129" s="4" t="s">
        <v>237</v>
      </c>
      <c r="J129" s="7">
        <f t="shared" si="1"/>
        <v>-1</v>
      </c>
    </row>
    <row r="130">
      <c r="A130" s="4" t="s">
        <v>9</v>
      </c>
      <c r="B130" s="4" t="s">
        <v>218</v>
      </c>
      <c r="C130" s="4" t="s">
        <v>191</v>
      </c>
      <c r="D130" s="5">
        <v>0.4791666666666667</v>
      </c>
      <c r="E130" s="5">
        <v>0.5416666666666666</v>
      </c>
      <c r="F130" s="4" t="s">
        <v>238</v>
      </c>
      <c r="G130" s="4" t="s">
        <v>236</v>
      </c>
      <c r="H130" s="6">
        <v>39.0</v>
      </c>
      <c r="I130" s="4" t="s">
        <v>233</v>
      </c>
      <c r="J130" s="7">
        <f t="shared" si="1"/>
        <v>-1</v>
      </c>
    </row>
    <row r="131">
      <c r="A131" s="4" t="s">
        <v>9</v>
      </c>
      <c r="B131" s="4" t="s">
        <v>218</v>
      </c>
      <c r="C131" s="4" t="s">
        <v>191</v>
      </c>
      <c r="D131" s="5">
        <v>0.4791666666666667</v>
      </c>
      <c r="E131" s="5">
        <v>0.5416666666666666</v>
      </c>
      <c r="F131" s="4" t="s">
        <v>239</v>
      </c>
      <c r="G131" s="4" t="s">
        <v>207</v>
      </c>
      <c r="H131" s="6">
        <v>32.0</v>
      </c>
      <c r="I131" s="4" t="s">
        <v>240</v>
      </c>
      <c r="J131" s="7">
        <f t="shared" si="1"/>
        <v>-1</v>
      </c>
    </row>
    <row r="132">
      <c r="A132" s="4" t="s">
        <v>9</v>
      </c>
      <c r="B132" s="4" t="s">
        <v>218</v>
      </c>
      <c r="C132" s="4" t="s">
        <v>191</v>
      </c>
      <c r="D132" s="5">
        <v>0.4791666666666667</v>
      </c>
      <c r="E132" s="5">
        <v>0.5416666666666666</v>
      </c>
      <c r="F132" s="4" t="s">
        <v>241</v>
      </c>
      <c r="G132" s="4" t="s">
        <v>207</v>
      </c>
      <c r="H132" s="6">
        <v>32.0</v>
      </c>
      <c r="I132" s="4" t="s">
        <v>194</v>
      </c>
      <c r="J132" s="7">
        <f t="shared" si="1"/>
        <v>-1</v>
      </c>
    </row>
    <row r="133">
      <c r="A133" s="4" t="s">
        <v>9</v>
      </c>
      <c r="B133" s="4" t="s">
        <v>218</v>
      </c>
      <c r="C133" s="4" t="s">
        <v>191</v>
      </c>
      <c r="D133" s="5">
        <v>0.4791666666666667</v>
      </c>
      <c r="E133" s="5">
        <v>0.5416666666666666</v>
      </c>
      <c r="F133" s="4" t="s">
        <v>242</v>
      </c>
      <c r="G133" s="4" t="s">
        <v>25</v>
      </c>
      <c r="H133" s="6">
        <v>30.0</v>
      </c>
      <c r="I133" s="4" t="s">
        <v>243</v>
      </c>
      <c r="J133" s="7">
        <f t="shared" si="1"/>
        <v>-1</v>
      </c>
    </row>
    <row r="134">
      <c r="A134" s="4" t="s">
        <v>9</v>
      </c>
      <c r="B134" s="4" t="s">
        <v>244</v>
      </c>
      <c r="C134" s="4" t="s">
        <v>191</v>
      </c>
      <c r="D134" s="5">
        <v>0.6041666666666666</v>
      </c>
      <c r="E134" s="5">
        <v>0.6666666666666666</v>
      </c>
      <c r="F134" s="4" t="s">
        <v>245</v>
      </c>
      <c r="G134" s="4" t="s">
        <v>193</v>
      </c>
      <c r="H134" s="6">
        <v>41.0</v>
      </c>
      <c r="I134" s="4" t="s">
        <v>240</v>
      </c>
      <c r="J134" s="7">
        <f t="shared" si="1"/>
        <v>1</v>
      </c>
    </row>
    <row r="135">
      <c r="A135" s="4" t="s">
        <v>9</v>
      </c>
      <c r="B135" s="4" t="s">
        <v>244</v>
      </c>
      <c r="C135" s="4" t="s">
        <v>191</v>
      </c>
      <c r="D135" s="5">
        <v>0.6041666666666666</v>
      </c>
      <c r="E135" s="5">
        <v>0.6666666666666666</v>
      </c>
      <c r="F135" s="4" t="s">
        <v>246</v>
      </c>
      <c r="G135" s="4" t="s">
        <v>45</v>
      </c>
      <c r="H135" s="6">
        <v>16.0</v>
      </c>
      <c r="I135" s="4" t="s">
        <v>247</v>
      </c>
      <c r="J135" s="7">
        <f t="shared" si="1"/>
        <v>1</v>
      </c>
    </row>
    <row r="136">
      <c r="A136" s="4" t="s">
        <v>9</v>
      </c>
      <c r="B136" s="4" t="s">
        <v>244</v>
      </c>
      <c r="C136" s="4" t="s">
        <v>191</v>
      </c>
      <c r="D136" s="5">
        <v>0.6041666666666666</v>
      </c>
      <c r="E136" s="5">
        <v>0.6666666666666666</v>
      </c>
      <c r="F136" s="4" t="s">
        <v>248</v>
      </c>
      <c r="G136" s="4" t="s">
        <v>101</v>
      </c>
      <c r="H136" s="6">
        <v>40.0</v>
      </c>
      <c r="I136" s="4" t="s">
        <v>249</v>
      </c>
      <c r="J136" s="7">
        <f t="shared" si="1"/>
        <v>1</v>
      </c>
    </row>
    <row r="137">
      <c r="A137" s="4" t="s">
        <v>9</v>
      </c>
      <c r="B137" s="4" t="s">
        <v>244</v>
      </c>
      <c r="C137" s="4" t="s">
        <v>191</v>
      </c>
      <c r="D137" s="5">
        <v>0.6041666666666666</v>
      </c>
      <c r="E137" s="5">
        <v>0.6666666666666666</v>
      </c>
      <c r="F137" s="4" t="s">
        <v>250</v>
      </c>
      <c r="G137" s="4" t="s">
        <v>251</v>
      </c>
      <c r="H137" s="6">
        <v>28.0</v>
      </c>
      <c r="I137" s="4" t="s">
        <v>252</v>
      </c>
      <c r="J137" s="7">
        <f t="shared" si="1"/>
        <v>1</v>
      </c>
    </row>
    <row r="138">
      <c r="A138" s="4" t="s">
        <v>9</v>
      </c>
      <c r="B138" s="4" t="s">
        <v>244</v>
      </c>
      <c r="C138" s="4" t="s">
        <v>191</v>
      </c>
      <c r="D138" s="5">
        <v>0.6041666666666666</v>
      </c>
      <c r="E138" s="5">
        <v>0.6666666666666666</v>
      </c>
      <c r="F138" s="4" t="s">
        <v>253</v>
      </c>
      <c r="G138" s="4" t="s">
        <v>251</v>
      </c>
      <c r="H138" s="6">
        <v>16.0</v>
      </c>
      <c r="I138" s="4" t="s">
        <v>252</v>
      </c>
      <c r="J138" s="7">
        <f t="shared" si="1"/>
        <v>1</v>
      </c>
    </row>
    <row r="139">
      <c r="A139" s="4" t="s">
        <v>9</v>
      </c>
      <c r="B139" s="4" t="s">
        <v>244</v>
      </c>
      <c r="C139" s="4" t="s">
        <v>191</v>
      </c>
      <c r="D139" s="5">
        <v>0.6041666666666666</v>
      </c>
      <c r="E139" s="5">
        <v>0.6666666666666666</v>
      </c>
      <c r="F139" s="4" t="s">
        <v>254</v>
      </c>
      <c r="G139" s="4" t="s">
        <v>104</v>
      </c>
      <c r="H139" s="6">
        <v>38.0</v>
      </c>
      <c r="I139" s="4" t="s">
        <v>14</v>
      </c>
      <c r="J139" s="7">
        <f t="shared" si="1"/>
        <v>1</v>
      </c>
    </row>
    <row r="140">
      <c r="A140" s="4" t="s">
        <v>9</v>
      </c>
      <c r="B140" s="4" t="s">
        <v>244</v>
      </c>
      <c r="C140" s="4" t="s">
        <v>191</v>
      </c>
      <c r="D140" s="5">
        <v>0.6041666666666666</v>
      </c>
      <c r="E140" s="5">
        <v>0.6666666666666666</v>
      </c>
      <c r="F140" s="4" t="s">
        <v>255</v>
      </c>
      <c r="G140" s="4" t="s">
        <v>18</v>
      </c>
      <c r="H140" s="6">
        <v>39.0</v>
      </c>
      <c r="I140" s="4" t="s">
        <v>256</v>
      </c>
      <c r="J140" s="7">
        <f t="shared" si="1"/>
        <v>1</v>
      </c>
    </row>
    <row r="141">
      <c r="A141" s="4" t="s">
        <v>9</v>
      </c>
      <c r="B141" s="4" t="s">
        <v>244</v>
      </c>
      <c r="C141" s="4" t="s">
        <v>191</v>
      </c>
      <c r="D141" s="5">
        <v>0.6041666666666666</v>
      </c>
      <c r="E141" s="5">
        <v>0.6666666666666666</v>
      </c>
      <c r="F141" s="4" t="s">
        <v>257</v>
      </c>
      <c r="G141" s="4" t="s">
        <v>258</v>
      </c>
      <c r="H141" s="6">
        <v>30.0</v>
      </c>
      <c r="I141" s="4" t="s">
        <v>259</v>
      </c>
      <c r="J141" s="7">
        <f t="shared" si="1"/>
        <v>1</v>
      </c>
    </row>
    <row r="142">
      <c r="A142" s="4" t="s">
        <v>9</v>
      </c>
      <c r="B142" s="4" t="s">
        <v>244</v>
      </c>
      <c r="C142" s="4" t="s">
        <v>191</v>
      </c>
      <c r="D142" s="5">
        <v>0.6041666666666666</v>
      </c>
      <c r="E142" s="5">
        <v>0.6666666666666666</v>
      </c>
      <c r="F142" s="4" t="s">
        <v>260</v>
      </c>
      <c r="G142" s="4" t="s">
        <v>258</v>
      </c>
      <c r="H142" s="6">
        <v>29.0</v>
      </c>
      <c r="I142" s="4" t="s">
        <v>259</v>
      </c>
      <c r="J142" s="7">
        <f t="shared" si="1"/>
        <v>1</v>
      </c>
    </row>
    <row r="143">
      <c r="A143" s="4" t="s">
        <v>9</v>
      </c>
      <c r="B143" s="4" t="s">
        <v>244</v>
      </c>
      <c r="C143" s="4" t="s">
        <v>191</v>
      </c>
      <c r="D143" s="5">
        <v>0.6041666666666666</v>
      </c>
      <c r="E143" s="5">
        <v>0.6666666666666666</v>
      </c>
      <c r="F143" s="4" t="s">
        <v>261</v>
      </c>
      <c r="G143" s="4" t="s">
        <v>258</v>
      </c>
      <c r="H143" s="6">
        <v>29.0</v>
      </c>
      <c r="I143" s="4" t="s">
        <v>262</v>
      </c>
      <c r="J143" s="7">
        <f t="shared" si="1"/>
        <v>1</v>
      </c>
    </row>
    <row r="144">
      <c r="A144" s="4" t="s">
        <v>9</v>
      </c>
      <c r="B144" s="4" t="s">
        <v>244</v>
      </c>
      <c r="C144" s="4" t="s">
        <v>191</v>
      </c>
      <c r="D144" s="5">
        <v>0.6041666666666666</v>
      </c>
      <c r="E144" s="5">
        <v>0.6666666666666666</v>
      </c>
      <c r="F144" s="4" t="s">
        <v>263</v>
      </c>
      <c r="G144" s="4" t="s">
        <v>258</v>
      </c>
      <c r="H144" s="6">
        <v>29.0</v>
      </c>
      <c r="I144" s="4" t="s">
        <v>264</v>
      </c>
      <c r="J144" s="7">
        <f t="shared" si="1"/>
        <v>1</v>
      </c>
    </row>
    <row r="145">
      <c r="A145" s="4" t="s">
        <v>9</v>
      </c>
      <c r="B145" s="4" t="s">
        <v>244</v>
      </c>
      <c r="C145" s="4" t="s">
        <v>191</v>
      </c>
      <c r="D145" s="5">
        <v>0.6041666666666666</v>
      </c>
      <c r="E145" s="5">
        <v>0.6666666666666666</v>
      </c>
      <c r="F145" s="4" t="s">
        <v>265</v>
      </c>
      <c r="G145" s="4" t="s">
        <v>258</v>
      </c>
      <c r="H145" s="6">
        <v>22.0</v>
      </c>
      <c r="I145" s="4" t="s">
        <v>121</v>
      </c>
      <c r="J145" s="7">
        <f t="shared" si="1"/>
        <v>1</v>
      </c>
    </row>
    <row r="146">
      <c r="A146" s="4" t="s">
        <v>9</v>
      </c>
      <c r="B146" s="4" t="s">
        <v>244</v>
      </c>
      <c r="C146" s="4" t="s">
        <v>191</v>
      </c>
      <c r="D146" s="5">
        <v>0.6041666666666666</v>
      </c>
      <c r="E146" s="5">
        <v>0.6666666666666666</v>
      </c>
      <c r="F146" s="4" t="s">
        <v>266</v>
      </c>
      <c r="G146" s="4" t="s">
        <v>258</v>
      </c>
      <c r="H146" s="6">
        <v>23.0</v>
      </c>
      <c r="I146" s="4" t="s">
        <v>116</v>
      </c>
      <c r="J146" s="7">
        <f t="shared" si="1"/>
        <v>1</v>
      </c>
    </row>
    <row r="147">
      <c r="A147" s="4" t="s">
        <v>9</v>
      </c>
      <c r="B147" s="4" t="s">
        <v>244</v>
      </c>
      <c r="C147" s="4" t="s">
        <v>191</v>
      </c>
      <c r="D147" s="5">
        <v>0.6041666666666666</v>
      </c>
      <c r="E147" s="5">
        <v>0.6666666666666666</v>
      </c>
      <c r="F147" s="4" t="s">
        <v>267</v>
      </c>
      <c r="G147" s="4" t="s">
        <v>258</v>
      </c>
      <c r="H147" s="6">
        <v>30.0</v>
      </c>
      <c r="I147" s="4" t="s">
        <v>158</v>
      </c>
      <c r="J147" s="7">
        <f t="shared" si="1"/>
        <v>1</v>
      </c>
    </row>
    <row r="148">
      <c r="A148" s="4" t="s">
        <v>9</v>
      </c>
      <c r="B148" s="4" t="s">
        <v>244</v>
      </c>
      <c r="C148" s="4" t="s">
        <v>191</v>
      </c>
      <c r="D148" s="5">
        <v>0.6041666666666666</v>
      </c>
      <c r="E148" s="5">
        <v>0.6666666666666666</v>
      </c>
      <c r="F148" s="4" t="s">
        <v>268</v>
      </c>
      <c r="G148" s="4" t="s">
        <v>258</v>
      </c>
      <c r="H148" s="6">
        <v>30.0</v>
      </c>
      <c r="I148" s="4" t="s">
        <v>158</v>
      </c>
      <c r="J148" s="7">
        <f t="shared" si="1"/>
        <v>1</v>
      </c>
    </row>
    <row r="149">
      <c r="A149" s="4" t="s">
        <v>9</v>
      </c>
      <c r="B149" s="4" t="s">
        <v>244</v>
      </c>
      <c r="C149" s="4" t="s">
        <v>191</v>
      </c>
      <c r="D149" s="5">
        <v>0.6041666666666666</v>
      </c>
      <c r="E149" s="5">
        <v>0.6666666666666666</v>
      </c>
      <c r="F149" s="4" t="s">
        <v>269</v>
      </c>
      <c r="G149" s="4" t="s">
        <v>212</v>
      </c>
      <c r="H149" s="6">
        <v>33.0</v>
      </c>
      <c r="I149" s="4" t="s">
        <v>270</v>
      </c>
      <c r="J149" s="7">
        <f t="shared" si="1"/>
        <v>1</v>
      </c>
    </row>
    <row r="150">
      <c r="A150" s="4" t="s">
        <v>9</v>
      </c>
      <c r="B150" s="4" t="s">
        <v>244</v>
      </c>
      <c r="C150" s="4" t="s">
        <v>191</v>
      </c>
      <c r="D150" s="5">
        <v>0.6041666666666666</v>
      </c>
      <c r="E150" s="5">
        <v>0.6666666666666666</v>
      </c>
      <c r="F150" s="4" t="s">
        <v>271</v>
      </c>
      <c r="G150" s="4" t="s">
        <v>212</v>
      </c>
      <c r="H150" s="6">
        <v>32.0</v>
      </c>
      <c r="I150" s="4" t="s">
        <v>270</v>
      </c>
      <c r="J150" s="7">
        <f t="shared" si="1"/>
        <v>1</v>
      </c>
    </row>
    <row r="151">
      <c r="A151" s="4" t="s">
        <v>9</v>
      </c>
      <c r="B151" s="4" t="s">
        <v>272</v>
      </c>
      <c r="C151" s="4" t="s">
        <v>273</v>
      </c>
      <c r="D151" s="5">
        <v>0.3541666666666667</v>
      </c>
      <c r="E151" s="5">
        <v>0.4166666666666667</v>
      </c>
      <c r="F151" s="4" t="s">
        <v>274</v>
      </c>
      <c r="G151" s="4" t="s">
        <v>275</v>
      </c>
      <c r="H151" s="6">
        <v>41.0</v>
      </c>
      <c r="I151" s="4" t="s">
        <v>276</v>
      </c>
      <c r="J151" s="7">
        <f t="shared" si="1"/>
        <v>-1</v>
      </c>
    </row>
    <row r="152">
      <c r="A152" s="4" t="s">
        <v>9</v>
      </c>
      <c r="B152" s="4" t="s">
        <v>272</v>
      </c>
      <c r="C152" s="4" t="s">
        <v>273</v>
      </c>
      <c r="D152" s="5">
        <v>0.3541666666666667</v>
      </c>
      <c r="E152" s="5">
        <v>0.4166666666666667</v>
      </c>
      <c r="F152" s="4" t="s">
        <v>277</v>
      </c>
      <c r="G152" s="4" t="s">
        <v>275</v>
      </c>
      <c r="H152" s="6">
        <v>41.0</v>
      </c>
      <c r="I152" s="4" t="s">
        <v>276</v>
      </c>
      <c r="J152" s="7">
        <f t="shared" si="1"/>
        <v>-1</v>
      </c>
    </row>
    <row r="153">
      <c r="A153" s="4" t="s">
        <v>9</v>
      </c>
      <c r="B153" s="4" t="s">
        <v>272</v>
      </c>
      <c r="C153" s="4" t="s">
        <v>273</v>
      </c>
      <c r="D153" s="5">
        <v>0.3541666666666667</v>
      </c>
      <c r="E153" s="5">
        <v>0.4166666666666667</v>
      </c>
      <c r="F153" s="4" t="s">
        <v>278</v>
      </c>
      <c r="G153" s="4" t="s">
        <v>141</v>
      </c>
      <c r="H153" s="6">
        <v>39.0</v>
      </c>
      <c r="I153" s="4" t="s">
        <v>279</v>
      </c>
      <c r="J153" s="7">
        <f t="shared" si="1"/>
        <v>-1</v>
      </c>
    </row>
    <row r="154">
      <c r="A154" s="4" t="s">
        <v>9</v>
      </c>
      <c r="B154" s="4" t="s">
        <v>272</v>
      </c>
      <c r="C154" s="4" t="s">
        <v>273</v>
      </c>
      <c r="D154" s="5">
        <v>0.3541666666666667</v>
      </c>
      <c r="E154" s="5">
        <v>0.4166666666666667</v>
      </c>
      <c r="F154" s="4" t="s">
        <v>280</v>
      </c>
      <c r="G154" s="4" t="s">
        <v>141</v>
      </c>
      <c r="H154" s="6">
        <v>40.0</v>
      </c>
      <c r="I154" s="4" t="s">
        <v>281</v>
      </c>
      <c r="J154" s="7">
        <f t="shared" si="1"/>
        <v>-1</v>
      </c>
    </row>
    <row r="155">
      <c r="A155" s="4" t="s">
        <v>9</v>
      </c>
      <c r="B155" s="4" t="s">
        <v>272</v>
      </c>
      <c r="C155" s="4" t="s">
        <v>273</v>
      </c>
      <c r="D155" s="5">
        <v>0.3541666666666667</v>
      </c>
      <c r="E155" s="5">
        <v>0.4166666666666667</v>
      </c>
      <c r="F155" s="4" t="s">
        <v>282</v>
      </c>
      <c r="G155" s="4" t="s">
        <v>141</v>
      </c>
      <c r="H155" s="6">
        <v>40.0</v>
      </c>
      <c r="I155" s="4" t="s">
        <v>281</v>
      </c>
      <c r="J155" s="7">
        <f t="shared" si="1"/>
        <v>-1</v>
      </c>
    </row>
    <row r="156">
      <c r="A156" s="4" t="s">
        <v>9</v>
      </c>
      <c r="B156" s="4" t="s">
        <v>272</v>
      </c>
      <c r="C156" s="4" t="s">
        <v>273</v>
      </c>
      <c r="D156" s="5">
        <v>0.3541666666666667</v>
      </c>
      <c r="E156" s="5">
        <v>0.4166666666666667</v>
      </c>
      <c r="F156" s="4" t="s">
        <v>283</v>
      </c>
      <c r="G156" s="4" t="s">
        <v>101</v>
      </c>
      <c r="H156" s="6">
        <v>41.0</v>
      </c>
      <c r="I156" s="4" t="s">
        <v>284</v>
      </c>
      <c r="J156" s="7">
        <f t="shared" si="1"/>
        <v>-1</v>
      </c>
    </row>
    <row r="157">
      <c r="A157" s="4" t="s">
        <v>9</v>
      </c>
      <c r="B157" s="4" t="s">
        <v>272</v>
      </c>
      <c r="C157" s="4" t="s">
        <v>273</v>
      </c>
      <c r="D157" s="5">
        <v>0.3541666666666667</v>
      </c>
      <c r="E157" s="5">
        <v>0.4166666666666667</v>
      </c>
      <c r="F157" s="4" t="s">
        <v>285</v>
      </c>
      <c r="G157" s="4" t="s">
        <v>101</v>
      </c>
      <c r="H157" s="6">
        <v>41.0</v>
      </c>
      <c r="I157" s="4" t="s">
        <v>284</v>
      </c>
      <c r="J157" s="7">
        <f t="shared" si="1"/>
        <v>-1</v>
      </c>
    </row>
    <row r="158">
      <c r="A158" s="4" t="s">
        <v>9</v>
      </c>
      <c r="B158" s="4" t="s">
        <v>272</v>
      </c>
      <c r="C158" s="4" t="s">
        <v>273</v>
      </c>
      <c r="D158" s="5">
        <v>0.3541666666666667</v>
      </c>
      <c r="E158" s="5">
        <v>0.4166666666666667</v>
      </c>
      <c r="F158" s="4" t="s">
        <v>286</v>
      </c>
      <c r="G158" s="4" t="s">
        <v>101</v>
      </c>
      <c r="H158" s="6">
        <v>31.0</v>
      </c>
      <c r="I158" s="4" t="s">
        <v>287</v>
      </c>
      <c r="J158" s="7">
        <f t="shared" si="1"/>
        <v>-1</v>
      </c>
    </row>
    <row r="159">
      <c r="A159" s="4" t="s">
        <v>9</v>
      </c>
      <c r="B159" s="4" t="s">
        <v>272</v>
      </c>
      <c r="C159" s="4" t="s">
        <v>273</v>
      </c>
      <c r="D159" s="5">
        <v>0.3541666666666667</v>
      </c>
      <c r="E159" s="5">
        <v>0.4166666666666667</v>
      </c>
      <c r="F159" s="4" t="s">
        <v>288</v>
      </c>
      <c r="G159" s="4" t="s">
        <v>18</v>
      </c>
      <c r="H159" s="6">
        <v>38.0</v>
      </c>
      <c r="I159" s="4" t="s">
        <v>289</v>
      </c>
      <c r="J159" s="7">
        <f t="shared" si="1"/>
        <v>-1</v>
      </c>
    </row>
    <row r="160">
      <c r="A160" s="4" t="s">
        <v>9</v>
      </c>
      <c r="B160" s="4" t="s">
        <v>272</v>
      </c>
      <c r="C160" s="4" t="s">
        <v>273</v>
      </c>
      <c r="D160" s="5">
        <v>0.3541666666666667</v>
      </c>
      <c r="E160" s="5">
        <v>0.4166666666666667</v>
      </c>
      <c r="F160" s="4" t="s">
        <v>290</v>
      </c>
      <c r="G160" s="4" t="s">
        <v>291</v>
      </c>
      <c r="H160" s="6">
        <v>3.0</v>
      </c>
      <c r="I160" s="4" t="s">
        <v>292</v>
      </c>
      <c r="J160" s="7">
        <f t="shared" si="1"/>
        <v>-1</v>
      </c>
    </row>
    <row r="161">
      <c r="A161" s="4" t="s">
        <v>9</v>
      </c>
      <c r="B161" s="4" t="s">
        <v>272</v>
      </c>
      <c r="C161" s="4" t="s">
        <v>273</v>
      </c>
      <c r="D161" s="5">
        <v>0.3541666666666667</v>
      </c>
      <c r="E161" s="5">
        <v>0.4166666666666667</v>
      </c>
      <c r="F161" s="4" t="s">
        <v>293</v>
      </c>
      <c r="G161" s="4" t="s">
        <v>291</v>
      </c>
      <c r="H161" s="6">
        <v>21.0</v>
      </c>
      <c r="I161" s="4" t="s">
        <v>292</v>
      </c>
      <c r="J161" s="7">
        <f t="shared" si="1"/>
        <v>-1</v>
      </c>
    </row>
    <row r="162">
      <c r="A162" s="4" t="s">
        <v>9</v>
      </c>
      <c r="B162" s="4" t="s">
        <v>272</v>
      </c>
      <c r="C162" s="4" t="s">
        <v>273</v>
      </c>
      <c r="D162" s="5">
        <v>0.3541666666666667</v>
      </c>
      <c r="E162" s="5">
        <v>0.4166666666666667</v>
      </c>
      <c r="F162" s="4" t="s">
        <v>294</v>
      </c>
      <c r="G162" s="4" t="s">
        <v>291</v>
      </c>
      <c r="H162" s="6">
        <v>30.0</v>
      </c>
      <c r="I162" s="4" t="s">
        <v>292</v>
      </c>
      <c r="J162" s="7">
        <f t="shared" si="1"/>
        <v>-1</v>
      </c>
    </row>
    <row r="163">
      <c r="A163" s="4" t="s">
        <v>9</v>
      </c>
      <c r="B163" s="4" t="s">
        <v>272</v>
      </c>
      <c r="C163" s="4" t="s">
        <v>273</v>
      </c>
      <c r="D163" s="5">
        <v>0.3541666666666667</v>
      </c>
      <c r="E163" s="5">
        <v>0.4166666666666667</v>
      </c>
      <c r="F163" s="4" t="s">
        <v>295</v>
      </c>
      <c r="G163" s="4" t="s">
        <v>207</v>
      </c>
      <c r="H163" s="6">
        <v>31.0</v>
      </c>
      <c r="I163" s="4" t="s">
        <v>296</v>
      </c>
      <c r="J163" s="7">
        <f t="shared" si="1"/>
        <v>-1</v>
      </c>
    </row>
    <row r="164">
      <c r="A164" s="4" t="s">
        <v>9</v>
      </c>
      <c r="B164" s="4" t="s">
        <v>272</v>
      </c>
      <c r="C164" s="4" t="s">
        <v>273</v>
      </c>
      <c r="D164" s="5">
        <v>0.3541666666666667</v>
      </c>
      <c r="E164" s="5">
        <v>0.4166666666666667</v>
      </c>
      <c r="F164" s="4" t="s">
        <v>297</v>
      </c>
      <c r="G164" s="4" t="s">
        <v>207</v>
      </c>
      <c r="H164" s="6">
        <v>33.0</v>
      </c>
      <c r="I164" s="4" t="s">
        <v>298</v>
      </c>
      <c r="J164" s="7">
        <f t="shared" si="1"/>
        <v>-1</v>
      </c>
    </row>
    <row r="165">
      <c r="A165" s="4" t="s">
        <v>9</v>
      </c>
      <c r="B165" s="4" t="s">
        <v>272</v>
      </c>
      <c r="C165" s="4" t="s">
        <v>273</v>
      </c>
      <c r="D165" s="5">
        <v>0.3541666666666667</v>
      </c>
      <c r="E165" s="5">
        <v>0.4166666666666667</v>
      </c>
      <c r="F165" s="4" t="s">
        <v>299</v>
      </c>
      <c r="G165" s="4" t="s">
        <v>207</v>
      </c>
      <c r="H165" s="6">
        <v>31.0</v>
      </c>
      <c r="I165" s="4" t="s">
        <v>296</v>
      </c>
      <c r="J165" s="7">
        <f t="shared" si="1"/>
        <v>-1</v>
      </c>
    </row>
    <row r="166">
      <c r="A166" s="4" t="s">
        <v>9</v>
      </c>
      <c r="B166" s="4" t="s">
        <v>272</v>
      </c>
      <c r="C166" s="4" t="s">
        <v>273</v>
      </c>
      <c r="D166" s="5">
        <v>0.3541666666666667</v>
      </c>
      <c r="E166" s="5">
        <v>0.4166666666666667</v>
      </c>
      <c r="F166" s="4" t="s">
        <v>300</v>
      </c>
      <c r="G166" s="4" t="s">
        <v>301</v>
      </c>
      <c r="H166" s="6">
        <v>40.0</v>
      </c>
      <c r="I166" s="4" t="s">
        <v>302</v>
      </c>
      <c r="J166" s="7">
        <f t="shared" si="1"/>
        <v>-1</v>
      </c>
    </row>
    <row r="167">
      <c r="A167" s="4" t="s">
        <v>9</v>
      </c>
      <c r="B167" s="4" t="s">
        <v>303</v>
      </c>
      <c r="C167" s="4" t="s">
        <v>273</v>
      </c>
      <c r="D167" s="5">
        <v>0.4791666666666667</v>
      </c>
      <c r="E167" s="5">
        <v>0.5416666666666666</v>
      </c>
      <c r="F167" s="4" t="s">
        <v>304</v>
      </c>
      <c r="G167" s="4" t="s">
        <v>193</v>
      </c>
      <c r="H167" s="6">
        <v>42.0</v>
      </c>
      <c r="I167" s="4" t="s">
        <v>305</v>
      </c>
      <c r="J167" s="7">
        <f t="shared" si="1"/>
        <v>1</v>
      </c>
    </row>
    <row r="168">
      <c r="A168" s="4" t="s">
        <v>9</v>
      </c>
      <c r="B168" s="4" t="s">
        <v>303</v>
      </c>
      <c r="C168" s="4" t="s">
        <v>273</v>
      </c>
      <c r="D168" s="5">
        <v>0.4791666666666667</v>
      </c>
      <c r="E168" s="5">
        <v>0.5416666666666666</v>
      </c>
      <c r="F168" s="4" t="s">
        <v>306</v>
      </c>
      <c r="G168" s="4" t="s">
        <v>193</v>
      </c>
      <c r="H168" s="6">
        <v>42.0</v>
      </c>
      <c r="I168" s="4" t="s">
        <v>305</v>
      </c>
      <c r="J168" s="7">
        <f t="shared" si="1"/>
        <v>1</v>
      </c>
    </row>
    <row r="169">
      <c r="A169" s="4" t="s">
        <v>9</v>
      </c>
      <c r="B169" s="4" t="s">
        <v>303</v>
      </c>
      <c r="C169" s="4" t="s">
        <v>273</v>
      </c>
      <c r="D169" s="5">
        <v>0.4791666666666667</v>
      </c>
      <c r="E169" s="5">
        <v>0.5416666666666666</v>
      </c>
      <c r="F169" s="4" t="s">
        <v>307</v>
      </c>
      <c r="G169" s="4" t="s">
        <v>308</v>
      </c>
      <c r="H169" s="6">
        <v>40.0</v>
      </c>
      <c r="I169" s="4" t="s">
        <v>309</v>
      </c>
      <c r="J169" s="7">
        <f t="shared" si="1"/>
        <v>1</v>
      </c>
    </row>
    <row r="170">
      <c r="A170" s="4" t="s">
        <v>9</v>
      </c>
      <c r="B170" s="4" t="s">
        <v>303</v>
      </c>
      <c r="C170" s="4" t="s">
        <v>273</v>
      </c>
      <c r="D170" s="5">
        <v>0.4791666666666667</v>
      </c>
      <c r="E170" s="5">
        <v>0.5416666666666666</v>
      </c>
      <c r="F170" s="4" t="s">
        <v>310</v>
      </c>
      <c r="G170" s="4" t="s">
        <v>308</v>
      </c>
      <c r="H170" s="6">
        <v>41.0</v>
      </c>
      <c r="I170" s="4" t="s">
        <v>309</v>
      </c>
      <c r="J170" s="7">
        <f t="shared" si="1"/>
        <v>1</v>
      </c>
    </row>
    <row r="171">
      <c r="A171" s="4" t="s">
        <v>9</v>
      </c>
      <c r="B171" s="4" t="s">
        <v>303</v>
      </c>
      <c r="C171" s="4" t="s">
        <v>273</v>
      </c>
      <c r="D171" s="5">
        <v>0.4791666666666667</v>
      </c>
      <c r="E171" s="5">
        <v>0.5416666666666666</v>
      </c>
      <c r="F171" s="4" t="s">
        <v>311</v>
      </c>
      <c r="G171" s="4" t="s">
        <v>308</v>
      </c>
      <c r="H171" s="6">
        <v>39.0</v>
      </c>
      <c r="I171" s="4" t="s">
        <v>309</v>
      </c>
      <c r="J171" s="7">
        <f t="shared" si="1"/>
        <v>1</v>
      </c>
    </row>
    <row r="172">
      <c r="A172" s="4" t="s">
        <v>9</v>
      </c>
      <c r="B172" s="4" t="s">
        <v>303</v>
      </c>
      <c r="C172" s="4" t="s">
        <v>273</v>
      </c>
      <c r="D172" s="5">
        <v>0.4791666666666667</v>
      </c>
      <c r="E172" s="5">
        <v>0.5416666666666666</v>
      </c>
      <c r="F172" s="4" t="s">
        <v>312</v>
      </c>
      <c r="G172" s="4" t="s">
        <v>308</v>
      </c>
      <c r="H172" s="6">
        <v>40.0</v>
      </c>
      <c r="I172" s="4" t="s">
        <v>199</v>
      </c>
      <c r="J172" s="7">
        <f t="shared" si="1"/>
        <v>1</v>
      </c>
    </row>
    <row r="173">
      <c r="A173" s="4" t="s">
        <v>9</v>
      </c>
      <c r="B173" s="4" t="s">
        <v>303</v>
      </c>
      <c r="C173" s="4" t="s">
        <v>273</v>
      </c>
      <c r="D173" s="5">
        <v>0.4791666666666667</v>
      </c>
      <c r="E173" s="5">
        <v>0.5416666666666666</v>
      </c>
      <c r="F173" s="4" t="s">
        <v>313</v>
      </c>
      <c r="G173" s="4" t="s">
        <v>308</v>
      </c>
      <c r="H173" s="6">
        <v>40.0</v>
      </c>
      <c r="I173" s="4" t="s">
        <v>199</v>
      </c>
      <c r="J173" s="7">
        <f t="shared" si="1"/>
        <v>1</v>
      </c>
    </row>
    <row r="174">
      <c r="A174" s="4" t="s">
        <v>9</v>
      </c>
      <c r="B174" s="4" t="s">
        <v>303</v>
      </c>
      <c r="C174" s="4" t="s">
        <v>273</v>
      </c>
      <c r="D174" s="5">
        <v>0.4791666666666667</v>
      </c>
      <c r="E174" s="5">
        <v>0.5416666666666666</v>
      </c>
      <c r="F174" s="4" t="s">
        <v>314</v>
      </c>
      <c r="G174" s="4" t="s">
        <v>315</v>
      </c>
      <c r="H174" s="6">
        <v>40.0</v>
      </c>
      <c r="I174" s="4" t="s">
        <v>316</v>
      </c>
      <c r="J174" s="7">
        <f t="shared" si="1"/>
        <v>1</v>
      </c>
    </row>
    <row r="175">
      <c r="A175" s="4" t="s">
        <v>9</v>
      </c>
      <c r="B175" s="4" t="s">
        <v>303</v>
      </c>
      <c r="C175" s="4" t="s">
        <v>273</v>
      </c>
      <c r="D175" s="5">
        <v>0.4791666666666667</v>
      </c>
      <c r="E175" s="5">
        <v>0.5416666666666666</v>
      </c>
      <c r="F175" s="4" t="s">
        <v>317</v>
      </c>
      <c r="G175" s="4" t="s">
        <v>318</v>
      </c>
      <c r="H175" s="6">
        <v>41.0</v>
      </c>
      <c r="I175" s="4" t="s">
        <v>319</v>
      </c>
      <c r="J175" s="7">
        <f t="shared" si="1"/>
        <v>1</v>
      </c>
    </row>
    <row r="176">
      <c r="A176" s="4" t="s">
        <v>9</v>
      </c>
      <c r="B176" s="4" t="s">
        <v>303</v>
      </c>
      <c r="C176" s="4" t="s">
        <v>273</v>
      </c>
      <c r="D176" s="5">
        <v>0.4791666666666667</v>
      </c>
      <c r="E176" s="5">
        <v>0.5416666666666666</v>
      </c>
      <c r="F176" s="4" t="s">
        <v>320</v>
      </c>
      <c r="G176" s="4" t="s">
        <v>318</v>
      </c>
      <c r="H176" s="6">
        <v>41.0</v>
      </c>
      <c r="I176" s="4" t="s">
        <v>319</v>
      </c>
      <c r="J176" s="7">
        <f t="shared" si="1"/>
        <v>1</v>
      </c>
    </row>
    <row r="177">
      <c r="A177" s="4" t="s">
        <v>9</v>
      </c>
      <c r="B177" s="4" t="s">
        <v>303</v>
      </c>
      <c r="C177" s="4" t="s">
        <v>273</v>
      </c>
      <c r="D177" s="5">
        <v>0.4791666666666667</v>
      </c>
      <c r="E177" s="5">
        <v>0.5416666666666666</v>
      </c>
      <c r="F177" s="4" t="s">
        <v>321</v>
      </c>
      <c r="G177" s="4" t="s">
        <v>318</v>
      </c>
      <c r="H177" s="6">
        <v>41.0</v>
      </c>
      <c r="I177" s="4" t="s">
        <v>319</v>
      </c>
      <c r="J177" s="7">
        <f t="shared" si="1"/>
        <v>1</v>
      </c>
    </row>
    <row r="178">
      <c r="A178" s="4" t="s">
        <v>9</v>
      </c>
      <c r="B178" s="4" t="s">
        <v>303</v>
      </c>
      <c r="C178" s="4" t="s">
        <v>273</v>
      </c>
      <c r="D178" s="5">
        <v>0.4791666666666667</v>
      </c>
      <c r="E178" s="5">
        <v>0.5416666666666666</v>
      </c>
      <c r="F178" s="4" t="s">
        <v>322</v>
      </c>
      <c r="G178" s="4" t="s">
        <v>212</v>
      </c>
      <c r="H178" s="6">
        <v>31.0</v>
      </c>
      <c r="I178" s="4" t="s">
        <v>323</v>
      </c>
      <c r="J178" s="7">
        <f t="shared" si="1"/>
        <v>1</v>
      </c>
    </row>
    <row r="179">
      <c r="A179" s="4" t="s">
        <v>9</v>
      </c>
      <c r="B179" s="4" t="s">
        <v>303</v>
      </c>
      <c r="C179" s="4" t="s">
        <v>273</v>
      </c>
      <c r="D179" s="5">
        <v>0.4791666666666667</v>
      </c>
      <c r="E179" s="5">
        <v>0.5416666666666666</v>
      </c>
      <c r="F179" s="4" t="s">
        <v>324</v>
      </c>
      <c r="G179" s="4" t="s">
        <v>212</v>
      </c>
      <c r="H179" s="6">
        <v>32.0</v>
      </c>
      <c r="I179" s="4" t="s">
        <v>323</v>
      </c>
      <c r="J179" s="7">
        <f t="shared" si="1"/>
        <v>1</v>
      </c>
    </row>
    <row r="180">
      <c r="A180" s="4" t="s">
        <v>9</v>
      </c>
      <c r="B180" s="4" t="s">
        <v>325</v>
      </c>
      <c r="C180" s="4" t="s">
        <v>273</v>
      </c>
      <c r="D180" s="5">
        <v>0.6041666666666666</v>
      </c>
      <c r="E180" s="5">
        <v>0.6666666666666666</v>
      </c>
      <c r="F180" s="4" t="s">
        <v>326</v>
      </c>
      <c r="G180" s="4" t="s">
        <v>308</v>
      </c>
      <c r="H180" s="6">
        <v>41.0</v>
      </c>
      <c r="I180" s="4" t="s">
        <v>327</v>
      </c>
      <c r="J180" s="7">
        <f t="shared" si="1"/>
        <v>-1</v>
      </c>
    </row>
    <row r="181">
      <c r="A181" s="4" t="s">
        <v>9</v>
      </c>
      <c r="B181" s="4" t="s">
        <v>325</v>
      </c>
      <c r="C181" s="4" t="s">
        <v>273</v>
      </c>
      <c r="D181" s="5">
        <v>0.6041666666666666</v>
      </c>
      <c r="E181" s="5">
        <v>0.6666666666666666</v>
      </c>
      <c r="F181" s="4" t="s">
        <v>328</v>
      </c>
      <c r="G181" s="4" t="s">
        <v>308</v>
      </c>
      <c r="H181" s="6">
        <v>40.0</v>
      </c>
      <c r="I181" s="4" t="s">
        <v>327</v>
      </c>
      <c r="J181" s="7">
        <f t="shared" si="1"/>
        <v>-1</v>
      </c>
    </row>
    <row r="182">
      <c r="A182" s="4" t="s">
        <v>9</v>
      </c>
      <c r="B182" s="4" t="s">
        <v>325</v>
      </c>
      <c r="C182" s="4" t="s">
        <v>273</v>
      </c>
      <c r="D182" s="5">
        <v>0.6041666666666666</v>
      </c>
      <c r="E182" s="5">
        <v>0.6666666666666666</v>
      </c>
      <c r="F182" s="4" t="s">
        <v>329</v>
      </c>
      <c r="G182" s="4" t="s">
        <v>146</v>
      </c>
      <c r="H182" s="6">
        <v>42.0</v>
      </c>
      <c r="I182" s="4" t="s">
        <v>330</v>
      </c>
      <c r="J182" s="7">
        <f t="shared" si="1"/>
        <v>-1</v>
      </c>
    </row>
    <row r="183">
      <c r="A183" s="4" t="s">
        <v>9</v>
      </c>
      <c r="B183" s="4" t="s">
        <v>325</v>
      </c>
      <c r="C183" s="4" t="s">
        <v>273</v>
      </c>
      <c r="D183" s="5">
        <v>0.6041666666666666</v>
      </c>
      <c r="E183" s="5">
        <v>0.6666666666666666</v>
      </c>
      <c r="F183" s="4" t="s">
        <v>331</v>
      </c>
      <c r="G183" s="4" t="s">
        <v>63</v>
      </c>
      <c r="H183" s="6">
        <v>40.0</v>
      </c>
      <c r="I183" s="4" t="s">
        <v>332</v>
      </c>
      <c r="J183" s="7">
        <f t="shared" si="1"/>
        <v>-1</v>
      </c>
    </row>
    <row r="184">
      <c r="A184" s="4" t="s">
        <v>9</v>
      </c>
      <c r="B184" s="4" t="s">
        <v>325</v>
      </c>
      <c r="C184" s="4" t="s">
        <v>273</v>
      </c>
      <c r="D184" s="5">
        <v>0.6041666666666666</v>
      </c>
      <c r="E184" s="5">
        <v>0.6666666666666666</v>
      </c>
      <c r="F184" s="4" t="s">
        <v>333</v>
      </c>
      <c r="G184" s="4" t="s">
        <v>63</v>
      </c>
      <c r="H184" s="6">
        <v>39.0</v>
      </c>
      <c r="I184" s="4" t="s">
        <v>332</v>
      </c>
      <c r="J184" s="7">
        <f t="shared" si="1"/>
        <v>-1</v>
      </c>
    </row>
    <row r="185">
      <c r="A185" s="4" t="s">
        <v>9</v>
      </c>
      <c r="B185" s="4" t="s">
        <v>325</v>
      </c>
      <c r="C185" s="4" t="s">
        <v>273</v>
      </c>
      <c r="D185" s="5">
        <v>0.6041666666666666</v>
      </c>
      <c r="E185" s="5">
        <v>0.6666666666666666</v>
      </c>
      <c r="F185" s="4" t="s">
        <v>334</v>
      </c>
      <c r="G185" s="4" t="s">
        <v>63</v>
      </c>
      <c r="H185" s="6">
        <v>38.0</v>
      </c>
      <c r="I185" s="4" t="s">
        <v>332</v>
      </c>
      <c r="J185" s="7">
        <f t="shared" si="1"/>
        <v>-1</v>
      </c>
    </row>
    <row r="186">
      <c r="A186" s="4" t="s">
        <v>9</v>
      </c>
      <c r="B186" s="4" t="s">
        <v>325</v>
      </c>
      <c r="C186" s="4" t="s">
        <v>273</v>
      </c>
      <c r="D186" s="5">
        <v>0.6041666666666666</v>
      </c>
      <c r="E186" s="5">
        <v>0.6666666666666666</v>
      </c>
      <c r="F186" s="4" t="s">
        <v>335</v>
      </c>
      <c r="G186" s="4" t="s">
        <v>63</v>
      </c>
      <c r="H186" s="6">
        <v>36.0</v>
      </c>
      <c r="I186" s="4" t="s">
        <v>336</v>
      </c>
      <c r="J186" s="7">
        <f t="shared" si="1"/>
        <v>-1</v>
      </c>
    </row>
    <row r="187">
      <c r="A187" s="4" t="s">
        <v>9</v>
      </c>
      <c r="B187" s="4" t="s">
        <v>325</v>
      </c>
      <c r="C187" s="4" t="s">
        <v>273</v>
      </c>
      <c r="D187" s="5">
        <v>0.6041666666666666</v>
      </c>
      <c r="E187" s="5">
        <v>0.6666666666666666</v>
      </c>
      <c r="F187" s="4" t="s">
        <v>337</v>
      </c>
      <c r="G187" s="4" t="s">
        <v>63</v>
      </c>
      <c r="H187" s="6">
        <v>37.0</v>
      </c>
      <c r="I187" s="4" t="s">
        <v>336</v>
      </c>
      <c r="J187" s="7">
        <f t="shared" si="1"/>
        <v>-1</v>
      </c>
    </row>
    <row r="188">
      <c r="A188" s="4" t="s">
        <v>9</v>
      </c>
      <c r="B188" s="4" t="s">
        <v>325</v>
      </c>
      <c r="C188" s="4" t="s">
        <v>273</v>
      </c>
      <c r="D188" s="5">
        <v>0.6041666666666666</v>
      </c>
      <c r="E188" s="5">
        <v>0.6666666666666666</v>
      </c>
      <c r="F188" s="4" t="s">
        <v>338</v>
      </c>
      <c r="G188" s="4" t="s">
        <v>339</v>
      </c>
      <c r="H188" s="6">
        <v>37.0</v>
      </c>
      <c r="I188" s="4" t="s">
        <v>340</v>
      </c>
      <c r="J188" s="7">
        <f t="shared" si="1"/>
        <v>-1</v>
      </c>
    </row>
    <row r="189">
      <c r="A189" s="4" t="s">
        <v>9</v>
      </c>
      <c r="B189" s="4" t="s">
        <v>325</v>
      </c>
      <c r="C189" s="4" t="s">
        <v>273</v>
      </c>
      <c r="D189" s="5">
        <v>0.6041666666666666</v>
      </c>
      <c r="E189" s="5">
        <v>0.6666666666666666</v>
      </c>
      <c r="F189" s="4" t="s">
        <v>341</v>
      </c>
      <c r="G189" s="4" t="s">
        <v>339</v>
      </c>
      <c r="H189" s="6">
        <v>35.0</v>
      </c>
      <c r="I189" s="4" t="s">
        <v>340</v>
      </c>
      <c r="J189" s="7">
        <f t="shared" si="1"/>
        <v>-1</v>
      </c>
    </row>
    <row r="190">
      <c r="A190" s="4" t="s">
        <v>9</v>
      </c>
      <c r="B190" s="4" t="s">
        <v>325</v>
      </c>
      <c r="C190" s="4" t="s">
        <v>273</v>
      </c>
      <c r="D190" s="5">
        <v>0.6041666666666666</v>
      </c>
      <c r="E190" s="5">
        <v>0.6666666666666666</v>
      </c>
      <c r="F190" s="4" t="s">
        <v>342</v>
      </c>
      <c r="G190" s="4" t="s">
        <v>207</v>
      </c>
      <c r="H190" s="6">
        <v>31.0</v>
      </c>
      <c r="I190" s="4" t="s">
        <v>343</v>
      </c>
      <c r="J190" s="7">
        <f t="shared" si="1"/>
        <v>-1</v>
      </c>
    </row>
    <row r="191">
      <c r="A191" s="4" t="s">
        <v>9</v>
      </c>
      <c r="B191" s="4" t="s">
        <v>325</v>
      </c>
      <c r="C191" s="4" t="s">
        <v>273</v>
      </c>
      <c r="D191" s="5">
        <v>0.6041666666666666</v>
      </c>
      <c r="E191" s="5">
        <v>0.6666666666666666</v>
      </c>
      <c r="F191" s="4" t="s">
        <v>344</v>
      </c>
      <c r="G191" s="4" t="s">
        <v>207</v>
      </c>
      <c r="H191" s="6">
        <v>30.0</v>
      </c>
      <c r="I191" s="4" t="s">
        <v>343</v>
      </c>
      <c r="J191" s="7">
        <f t="shared" si="1"/>
        <v>-1</v>
      </c>
    </row>
    <row r="192">
      <c r="A192" s="4" t="s">
        <v>9</v>
      </c>
      <c r="B192" s="4" t="s">
        <v>325</v>
      </c>
      <c r="C192" s="4" t="s">
        <v>273</v>
      </c>
      <c r="D192" s="5">
        <v>0.6041666666666666</v>
      </c>
      <c r="E192" s="5">
        <v>0.6666666666666666</v>
      </c>
      <c r="F192" s="4" t="s">
        <v>345</v>
      </c>
      <c r="G192" s="4" t="s">
        <v>91</v>
      </c>
      <c r="H192" s="6">
        <v>42.0</v>
      </c>
      <c r="I192" s="4" t="s">
        <v>135</v>
      </c>
      <c r="J192" s="7">
        <f t="shared" si="1"/>
        <v>-1</v>
      </c>
    </row>
    <row r="193">
      <c r="A193" s="4" t="s">
        <v>9</v>
      </c>
      <c r="B193" s="4" t="s">
        <v>325</v>
      </c>
      <c r="C193" s="4" t="s">
        <v>273</v>
      </c>
      <c r="D193" s="5">
        <v>0.6041666666666666</v>
      </c>
      <c r="E193" s="5">
        <v>0.6666666666666666</v>
      </c>
      <c r="F193" s="4" t="s">
        <v>346</v>
      </c>
      <c r="G193" s="4" t="s">
        <v>91</v>
      </c>
      <c r="H193" s="6">
        <v>42.0</v>
      </c>
      <c r="I193" s="4" t="s">
        <v>347</v>
      </c>
      <c r="J193" s="7">
        <f t="shared" si="1"/>
        <v>-1</v>
      </c>
    </row>
    <row r="194">
      <c r="A194" s="4" t="s">
        <v>348</v>
      </c>
      <c r="B194" s="4" t="s">
        <v>349</v>
      </c>
      <c r="C194" s="4" t="s">
        <v>350</v>
      </c>
      <c r="D194" s="5">
        <v>0.375</v>
      </c>
      <c r="E194" s="5">
        <v>0.4375</v>
      </c>
      <c r="F194" s="4" t="s">
        <v>351</v>
      </c>
      <c r="G194" s="4" t="s">
        <v>45</v>
      </c>
      <c r="H194" s="6">
        <v>36.0</v>
      </c>
      <c r="I194" s="4" t="s">
        <v>352</v>
      </c>
      <c r="J194" s="7">
        <f t="shared" si="1"/>
        <v>1</v>
      </c>
    </row>
    <row r="195">
      <c r="A195" s="4" t="s">
        <v>348</v>
      </c>
      <c r="B195" s="4" t="s">
        <v>349</v>
      </c>
      <c r="C195" s="4" t="s">
        <v>350</v>
      </c>
      <c r="D195" s="5">
        <v>0.375</v>
      </c>
      <c r="E195" s="5">
        <v>0.4375</v>
      </c>
      <c r="F195" s="4" t="s">
        <v>353</v>
      </c>
      <c r="G195" s="4" t="s">
        <v>101</v>
      </c>
      <c r="H195" s="6">
        <v>25.0</v>
      </c>
      <c r="I195" s="4" t="s">
        <v>354</v>
      </c>
      <c r="J195" s="7">
        <f t="shared" si="1"/>
        <v>1</v>
      </c>
    </row>
    <row r="196">
      <c r="A196" s="4" t="s">
        <v>348</v>
      </c>
      <c r="B196" s="4" t="s">
        <v>349</v>
      </c>
      <c r="C196" s="4" t="s">
        <v>350</v>
      </c>
      <c r="D196" s="5">
        <v>0.375</v>
      </c>
      <c r="E196" s="5">
        <v>0.4375</v>
      </c>
      <c r="F196" s="4" t="s">
        <v>355</v>
      </c>
      <c r="G196" s="4" t="s">
        <v>13</v>
      </c>
      <c r="H196" s="6">
        <v>28.0</v>
      </c>
      <c r="I196" s="4" t="s">
        <v>356</v>
      </c>
      <c r="J196" s="7">
        <f t="shared" si="1"/>
        <v>1</v>
      </c>
    </row>
    <row r="197">
      <c r="A197" s="4" t="s">
        <v>348</v>
      </c>
      <c r="B197" s="4" t="s">
        <v>349</v>
      </c>
      <c r="C197" s="4" t="s">
        <v>350</v>
      </c>
      <c r="D197" s="5">
        <v>0.375</v>
      </c>
      <c r="E197" s="5">
        <v>0.4375</v>
      </c>
      <c r="F197" s="4" t="s">
        <v>357</v>
      </c>
      <c r="G197" s="4" t="s">
        <v>315</v>
      </c>
      <c r="H197" s="6">
        <v>42.0</v>
      </c>
      <c r="I197" s="4" t="s">
        <v>316</v>
      </c>
      <c r="J197" s="7">
        <f t="shared" si="1"/>
        <v>1</v>
      </c>
    </row>
    <row r="198">
      <c r="A198" s="4" t="s">
        <v>348</v>
      </c>
      <c r="B198" s="4" t="s">
        <v>349</v>
      </c>
      <c r="C198" s="4" t="s">
        <v>350</v>
      </c>
      <c r="D198" s="5">
        <v>0.375</v>
      </c>
      <c r="E198" s="5">
        <v>0.4375</v>
      </c>
      <c r="F198" s="4" t="s">
        <v>358</v>
      </c>
      <c r="G198" s="4" t="s">
        <v>359</v>
      </c>
      <c r="H198" s="6">
        <v>34.0</v>
      </c>
      <c r="I198" s="4" t="s">
        <v>360</v>
      </c>
      <c r="J198" s="7">
        <f t="shared" si="1"/>
        <v>1</v>
      </c>
    </row>
    <row r="199">
      <c r="A199" s="4" t="s">
        <v>348</v>
      </c>
      <c r="B199" s="4" t="s">
        <v>349</v>
      </c>
      <c r="C199" s="4" t="s">
        <v>350</v>
      </c>
      <c r="D199" s="5">
        <v>0.375</v>
      </c>
      <c r="E199" s="5">
        <v>0.4375</v>
      </c>
      <c r="F199" s="4" t="s">
        <v>361</v>
      </c>
      <c r="G199" s="4" t="s">
        <v>91</v>
      </c>
      <c r="H199" s="6">
        <v>27.0</v>
      </c>
      <c r="I199" s="4" t="s">
        <v>362</v>
      </c>
      <c r="J199" s="7">
        <f t="shared" si="1"/>
        <v>1</v>
      </c>
    </row>
    <row r="200">
      <c r="A200" s="4" t="s">
        <v>348</v>
      </c>
      <c r="B200" s="4" t="s">
        <v>363</v>
      </c>
      <c r="C200" s="4" t="s">
        <v>350</v>
      </c>
      <c r="D200" s="5">
        <v>0.4791666666666667</v>
      </c>
      <c r="E200" s="5">
        <v>0.5416666666666666</v>
      </c>
      <c r="F200" s="4" t="s">
        <v>364</v>
      </c>
      <c r="G200" s="4" t="s">
        <v>101</v>
      </c>
      <c r="H200" s="6">
        <v>39.0</v>
      </c>
      <c r="I200" s="4" t="s">
        <v>354</v>
      </c>
      <c r="J200" s="7">
        <f t="shared" si="1"/>
        <v>-1</v>
      </c>
    </row>
    <row r="201">
      <c r="A201" s="4" t="s">
        <v>348</v>
      </c>
      <c r="B201" s="4" t="s">
        <v>363</v>
      </c>
      <c r="C201" s="4" t="s">
        <v>350</v>
      </c>
      <c r="D201" s="5">
        <v>0.4791666666666667</v>
      </c>
      <c r="E201" s="5">
        <v>0.5416666666666666</v>
      </c>
      <c r="F201" s="4" t="s">
        <v>365</v>
      </c>
      <c r="G201" s="4" t="s">
        <v>251</v>
      </c>
      <c r="H201" s="6">
        <v>40.0</v>
      </c>
      <c r="I201" s="4" t="s">
        <v>366</v>
      </c>
      <c r="J201" s="7">
        <f t="shared" si="1"/>
        <v>-1</v>
      </c>
    </row>
    <row r="202">
      <c r="A202" s="4" t="s">
        <v>348</v>
      </c>
      <c r="B202" s="4" t="s">
        <v>363</v>
      </c>
      <c r="C202" s="4" t="s">
        <v>350</v>
      </c>
      <c r="D202" s="5">
        <v>0.4791666666666667</v>
      </c>
      <c r="E202" s="5">
        <v>0.5416666666666666</v>
      </c>
      <c r="F202" s="4" t="s">
        <v>367</v>
      </c>
      <c r="G202" s="4" t="s">
        <v>339</v>
      </c>
      <c r="H202" s="6">
        <v>29.0</v>
      </c>
      <c r="I202" s="4" t="s">
        <v>368</v>
      </c>
      <c r="J202" s="7">
        <f t="shared" si="1"/>
        <v>-1</v>
      </c>
    </row>
    <row r="203">
      <c r="A203" s="4" t="s">
        <v>348</v>
      </c>
      <c r="B203" s="4" t="s">
        <v>363</v>
      </c>
      <c r="C203" s="4" t="s">
        <v>350</v>
      </c>
      <c r="D203" s="5">
        <v>0.4791666666666667</v>
      </c>
      <c r="E203" s="5">
        <v>0.5416666666666666</v>
      </c>
      <c r="F203" s="4" t="s">
        <v>369</v>
      </c>
      <c r="G203" s="4" t="s">
        <v>339</v>
      </c>
      <c r="H203" s="6">
        <v>34.0</v>
      </c>
      <c r="I203" s="4" t="s">
        <v>368</v>
      </c>
      <c r="J203" s="7">
        <f t="shared" si="1"/>
        <v>-1</v>
      </c>
    </row>
    <row r="204">
      <c r="A204" s="4" t="s">
        <v>348</v>
      </c>
      <c r="B204" s="4" t="s">
        <v>363</v>
      </c>
      <c r="C204" s="4" t="s">
        <v>350</v>
      </c>
      <c r="D204" s="5">
        <v>0.4791666666666667</v>
      </c>
      <c r="E204" s="5">
        <v>0.5416666666666666</v>
      </c>
      <c r="F204" s="4" t="s">
        <v>370</v>
      </c>
      <c r="G204" s="4" t="s">
        <v>371</v>
      </c>
      <c r="H204" s="6">
        <v>22.0</v>
      </c>
      <c r="I204" s="4" t="s">
        <v>372</v>
      </c>
      <c r="J204" s="7">
        <f t="shared" si="1"/>
        <v>-1</v>
      </c>
    </row>
    <row r="205">
      <c r="A205" s="4" t="s">
        <v>348</v>
      </c>
      <c r="B205" s="4" t="s">
        <v>373</v>
      </c>
      <c r="C205" s="4" t="s">
        <v>350</v>
      </c>
      <c r="D205" s="5">
        <v>0.6041666666666666</v>
      </c>
      <c r="E205" s="5">
        <v>0.6666666666666666</v>
      </c>
      <c r="F205" s="4" t="s">
        <v>374</v>
      </c>
      <c r="G205" s="4" t="s">
        <v>42</v>
      </c>
      <c r="H205" s="6">
        <v>18.0</v>
      </c>
      <c r="I205" s="4" t="s">
        <v>375</v>
      </c>
      <c r="J205" s="7">
        <f t="shared" si="1"/>
        <v>1</v>
      </c>
    </row>
    <row r="206">
      <c r="A206" s="4" t="s">
        <v>348</v>
      </c>
      <c r="B206" s="4" t="s">
        <v>373</v>
      </c>
      <c r="C206" s="4" t="s">
        <v>350</v>
      </c>
      <c r="D206" s="5">
        <v>0.6041666666666666</v>
      </c>
      <c r="E206" s="5">
        <v>0.6666666666666666</v>
      </c>
      <c r="F206" s="4" t="s">
        <v>376</v>
      </c>
      <c r="G206" s="4" t="s">
        <v>308</v>
      </c>
      <c r="H206" s="6">
        <v>37.0</v>
      </c>
      <c r="I206" s="4" t="s">
        <v>377</v>
      </c>
      <c r="J206" s="7">
        <f t="shared" si="1"/>
        <v>1</v>
      </c>
    </row>
    <row r="207">
      <c r="A207" s="4" t="s">
        <v>348</v>
      </c>
      <c r="B207" s="4" t="s">
        <v>373</v>
      </c>
      <c r="C207" s="4" t="s">
        <v>350</v>
      </c>
      <c r="D207" s="5">
        <v>0.6041666666666666</v>
      </c>
      <c r="E207" s="5">
        <v>0.6666666666666666</v>
      </c>
      <c r="F207" s="4" t="s">
        <v>378</v>
      </c>
      <c r="G207" s="4" t="s">
        <v>379</v>
      </c>
      <c r="H207" s="6">
        <v>23.0</v>
      </c>
      <c r="I207" s="4" t="s">
        <v>380</v>
      </c>
      <c r="J207" s="7">
        <f t="shared" si="1"/>
        <v>1</v>
      </c>
    </row>
    <row r="208">
      <c r="A208" s="4" t="s">
        <v>348</v>
      </c>
      <c r="B208" s="4" t="s">
        <v>373</v>
      </c>
      <c r="C208" s="4" t="s">
        <v>350</v>
      </c>
      <c r="D208" s="5">
        <v>0.6041666666666666</v>
      </c>
      <c r="E208" s="5">
        <v>0.6666666666666666</v>
      </c>
      <c r="F208" s="4" t="s">
        <v>381</v>
      </c>
      <c r="G208" s="4" t="s">
        <v>379</v>
      </c>
      <c r="H208" s="6">
        <v>1.0</v>
      </c>
      <c r="I208" s="4" t="s">
        <v>380</v>
      </c>
      <c r="J208" s="7">
        <f t="shared" si="1"/>
        <v>1</v>
      </c>
    </row>
    <row r="209">
      <c r="A209" s="4" t="s">
        <v>348</v>
      </c>
      <c r="B209" s="4" t="s">
        <v>373</v>
      </c>
      <c r="C209" s="4" t="s">
        <v>350</v>
      </c>
      <c r="D209" s="5">
        <v>0.6041666666666666</v>
      </c>
      <c r="E209" s="5">
        <v>0.6666666666666666</v>
      </c>
      <c r="F209" s="4" t="s">
        <v>382</v>
      </c>
      <c r="G209" s="4" t="s">
        <v>57</v>
      </c>
      <c r="H209" s="6">
        <v>27.0</v>
      </c>
      <c r="I209" s="4" t="s">
        <v>77</v>
      </c>
      <c r="J209" s="7">
        <f t="shared" si="1"/>
        <v>1</v>
      </c>
    </row>
    <row r="210">
      <c r="A210" s="4" t="s">
        <v>348</v>
      </c>
      <c r="B210" s="4" t="s">
        <v>373</v>
      </c>
      <c r="C210" s="4" t="s">
        <v>350</v>
      </c>
      <c r="D210" s="5">
        <v>0.6041666666666666</v>
      </c>
      <c r="E210" s="5">
        <v>0.6666666666666666</v>
      </c>
      <c r="F210" s="4" t="s">
        <v>383</v>
      </c>
      <c r="G210" s="4" t="s">
        <v>339</v>
      </c>
      <c r="H210" s="6">
        <v>30.0</v>
      </c>
      <c r="I210" s="4" t="s">
        <v>384</v>
      </c>
      <c r="J210" s="7">
        <f t="shared" si="1"/>
        <v>1</v>
      </c>
    </row>
    <row r="211">
      <c r="A211" s="4" t="s">
        <v>348</v>
      </c>
      <c r="B211" s="4" t="s">
        <v>385</v>
      </c>
      <c r="C211" s="4" t="s">
        <v>350</v>
      </c>
      <c r="D211" s="5">
        <v>0.7083333333333334</v>
      </c>
      <c r="E211" s="5">
        <v>0.7708333333333334</v>
      </c>
      <c r="F211" s="4" t="s">
        <v>386</v>
      </c>
      <c r="G211" s="4" t="s">
        <v>308</v>
      </c>
      <c r="H211" s="6">
        <v>40.0</v>
      </c>
      <c r="I211" s="4" t="s">
        <v>387</v>
      </c>
      <c r="J211" s="7">
        <f t="shared" si="1"/>
        <v>-1</v>
      </c>
    </row>
    <row r="212">
      <c r="A212" s="4" t="s">
        <v>348</v>
      </c>
      <c r="B212" s="4" t="s">
        <v>385</v>
      </c>
      <c r="C212" s="4" t="s">
        <v>350</v>
      </c>
      <c r="D212" s="5">
        <v>0.7083333333333334</v>
      </c>
      <c r="E212" s="5">
        <v>0.7708333333333334</v>
      </c>
      <c r="F212" s="4" t="s">
        <v>388</v>
      </c>
      <c r="G212" s="4" t="s">
        <v>13</v>
      </c>
      <c r="H212" s="6">
        <v>36.0</v>
      </c>
      <c r="I212" s="4" t="s">
        <v>389</v>
      </c>
      <c r="J212" s="7">
        <f t="shared" si="1"/>
        <v>-1</v>
      </c>
    </row>
    <row r="213">
      <c r="A213" s="4" t="s">
        <v>348</v>
      </c>
      <c r="B213" s="4" t="s">
        <v>385</v>
      </c>
      <c r="C213" s="4" t="s">
        <v>350</v>
      </c>
      <c r="D213" s="5">
        <v>0.7083333333333334</v>
      </c>
      <c r="E213" s="5">
        <v>0.7708333333333334</v>
      </c>
      <c r="F213" s="4" t="s">
        <v>390</v>
      </c>
      <c r="G213" s="4" t="s">
        <v>391</v>
      </c>
      <c r="H213" s="6">
        <v>42.0</v>
      </c>
      <c r="I213" s="4" t="s">
        <v>392</v>
      </c>
      <c r="J213" s="7">
        <f t="shared" si="1"/>
        <v>-1</v>
      </c>
    </row>
    <row r="214">
      <c r="A214" s="4" t="s">
        <v>348</v>
      </c>
      <c r="B214" s="4" t="s">
        <v>385</v>
      </c>
      <c r="C214" s="4" t="s">
        <v>350</v>
      </c>
      <c r="D214" s="5">
        <v>0.7083333333333334</v>
      </c>
      <c r="E214" s="5">
        <v>0.7708333333333334</v>
      </c>
      <c r="F214" s="4" t="s">
        <v>393</v>
      </c>
      <c r="G214" s="4" t="s">
        <v>394</v>
      </c>
      <c r="H214" s="6">
        <v>34.0</v>
      </c>
      <c r="I214" s="4" t="s">
        <v>395</v>
      </c>
      <c r="J214" s="7">
        <f t="shared" si="1"/>
        <v>-1</v>
      </c>
    </row>
    <row r="215">
      <c r="A215" s="4" t="s">
        <v>9</v>
      </c>
      <c r="B215" s="4" t="s">
        <v>396</v>
      </c>
      <c r="C215" s="4" t="s">
        <v>397</v>
      </c>
      <c r="D215" s="5">
        <v>0.3541666666666667</v>
      </c>
      <c r="E215" s="5">
        <v>0.4166666666666667</v>
      </c>
      <c r="F215" s="4" t="s">
        <v>398</v>
      </c>
      <c r="G215" s="4" t="s">
        <v>232</v>
      </c>
      <c r="H215" s="6">
        <v>41.0</v>
      </c>
      <c r="I215" s="4" t="s">
        <v>289</v>
      </c>
      <c r="J215" s="7">
        <f t="shared" si="1"/>
        <v>1</v>
      </c>
    </row>
    <row r="216">
      <c r="A216" s="4" t="s">
        <v>9</v>
      </c>
      <c r="B216" s="4" t="s">
        <v>396</v>
      </c>
      <c r="C216" s="4" t="s">
        <v>397</v>
      </c>
      <c r="D216" s="5">
        <v>0.3541666666666667</v>
      </c>
      <c r="E216" s="5">
        <v>0.4166666666666667</v>
      </c>
      <c r="F216" s="4" t="s">
        <v>399</v>
      </c>
      <c r="G216" s="4" t="s">
        <v>232</v>
      </c>
      <c r="H216" s="6">
        <v>40.0</v>
      </c>
      <c r="I216" s="4" t="s">
        <v>289</v>
      </c>
      <c r="J216" s="7">
        <f t="shared" si="1"/>
        <v>1</v>
      </c>
    </row>
    <row r="217">
      <c r="A217" s="4" t="s">
        <v>9</v>
      </c>
      <c r="B217" s="4" t="s">
        <v>396</v>
      </c>
      <c r="C217" s="4" t="s">
        <v>397</v>
      </c>
      <c r="D217" s="5">
        <v>0.3541666666666667</v>
      </c>
      <c r="E217" s="5">
        <v>0.4166666666666667</v>
      </c>
      <c r="F217" s="4" t="s">
        <v>400</v>
      </c>
      <c r="G217" s="4" t="s">
        <v>232</v>
      </c>
      <c r="H217" s="6">
        <v>41.0</v>
      </c>
      <c r="I217" s="4" t="s">
        <v>401</v>
      </c>
      <c r="J217" s="7">
        <f t="shared" si="1"/>
        <v>1</v>
      </c>
    </row>
    <row r="218">
      <c r="A218" s="4" t="s">
        <v>9</v>
      </c>
      <c r="B218" s="4" t="s">
        <v>396</v>
      </c>
      <c r="C218" s="4" t="s">
        <v>397</v>
      </c>
      <c r="D218" s="5">
        <v>0.3541666666666667</v>
      </c>
      <c r="E218" s="5">
        <v>0.4166666666666667</v>
      </c>
      <c r="F218" s="4" t="s">
        <v>402</v>
      </c>
      <c r="G218" s="4" t="s">
        <v>232</v>
      </c>
      <c r="H218" s="6">
        <v>37.0</v>
      </c>
      <c r="I218" s="4" t="s">
        <v>401</v>
      </c>
      <c r="J218" s="7">
        <f t="shared" si="1"/>
        <v>1</v>
      </c>
    </row>
    <row r="219">
      <c r="A219" s="4" t="s">
        <v>9</v>
      </c>
      <c r="B219" s="4" t="s">
        <v>396</v>
      </c>
      <c r="C219" s="4" t="s">
        <v>397</v>
      </c>
      <c r="D219" s="5">
        <v>0.3541666666666667</v>
      </c>
      <c r="E219" s="5">
        <v>0.4166666666666667</v>
      </c>
      <c r="F219" s="4" t="s">
        <v>403</v>
      </c>
      <c r="G219" s="4" t="s">
        <v>236</v>
      </c>
      <c r="H219" s="6">
        <v>39.0</v>
      </c>
      <c r="I219" s="4" t="s">
        <v>404</v>
      </c>
      <c r="J219" s="7">
        <f t="shared" si="1"/>
        <v>1</v>
      </c>
    </row>
    <row r="220">
      <c r="A220" s="4" t="s">
        <v>9</v>
      </c>
      <c r="B220" s="4" t="s">
        <v>396</v>
      </c>
      <c r="C220" s="4" t="s">
        <v>397</v>
      </c>
      <c r="D220" s="5">
        <v>0.3541666666666667</v>
      </c>
      <c r="E220" s="5">
        <v>0.4166666666666667</v>
      </c>
      <c r="F220" s="4" t="s">
        <v>405</v>
      </c>
      <c r="G220" s="4" t="s">
        <v>236</v>
      </c>
      <c r="H220" s="6">
        <v>39.0</v>
      </c>
      <c r="I220" s="4" t="s">
        <v>404</v>
      </c>
      <c r="J220" s="7">
        <f t="shared" si="1"/>
        <v>1</v>
      </c>
    </row>
    <row r="221">
      <c r="A221" s="4" t="s">
        <v>9</v>
      </c>
      <c r="B221" s="4" t="s">
        <v>396</v>
      </c>
      <c r="C221" s="4" t="s">
        <v>397</v>
      </c>
      <c r="D221" s="5">
        <v>0.3541666666666667</v>
      </c>
      <c r="E221" s="5">
        <v>0.4166666666666667</v>
      </c>
      <c r="F221" s="4" t="s">
        <v>406</v>
      </c>
      <c r="G221" s="4" t="s">
        <v>236</v>
      </c>
      <c r="H221" s="6">
        <v>40.0</v>
      </c>
      <c r="I221" s="4" t="s">
        <v>404</v>
      </c>
      <c r="J221" s="7">
        <f t="shared" si="1"/>
        <v>1</v>
      </c>
    </row>
    <row r="222">
      <c r="A222" s="4" t="s">
        <v>9</v>
      </c>
      <c r="B222" s="4" t="s">
        <v>396</v>
      </c>
      <c r="C222" s="4" t="s">
        <v>397</v>
      </c>
      <c r="D222" s="5">
        <v>0.3541666666666667</v>
      </c>
      <c r="E222" s="5">
        <v>0.4166666666666667</v>
      </c>
      <c r="F222" s="4" t="s">
        <v>407</v>
      </c>
      <c r="G222" s="4" t="s">
        <v>63</v>
      </c>
      <c r="H222" s="6">
        <v>36.0</v>
      </c>
      <c r="I222" s="4" t="s">
        <v>247</v>
      </c>
      <c r="J222" s="7">
        <f t="shared" si="1"/>
        <v>1</v>
      </c>
    </row>
    <row r="223">
      <c r="A223" s="4" t="s">
        <v>9</v>
      </c>
      <c r="B223" s="4" t="s">
        <v>396</v>
      </c>
      <c r="C223" s="4" t="s">
        <v>397</v>
      </c>
      <c r="D223" s="5">
        <v>0.3541666666666667</v>
      </c>
      <c r="E223" s="5">
        <v>0.4166666666666667</v>
      </c>
      <c r="F223" s="4" t="s">
        <v>408</v>
      </c>
      <c r="G223" s="4" t="s">
        <v>91</v>
      </c>
      <c r="H223" s="6">
        <v>1.0</v>
      </c>
      <c r="I223" s="4" t="s">
        <v>409</v>
      </c>
      <c r="J223" s="7">
        <f t="shared" si="1"/>
        <v>1</v>
      </c>
    </row>
    <row r="224">
      <c r="A224" s="4" t="s">
        <v>9</v>
      </c>
      <c r="B224" s="4" t="s">
        <v>396</v>
      </c>
      <c r="C224" s="4" t="s">
        <v>397</v>
      </c>
      <c r="D224" s="5">
        <v>0.3541666666666667</v>
      </c>
      <c r="E224" s="5">
        <v>0.4166666666666667</v>
      </c>
      <c r="F224" s="4" t="s">
        <v>410</v>
      </c>
      <c r="G224" s="4" t="s">
        <v>91</v>
      </c>
      <c r="H224" s="6">
        <v>41.0</v>
      </c>
      <c r="I224" s="4" t="s">
        <v>409</v>
      </c>
      <c r="J224" s="7">
        <f t="shared" si="1"/>
        <v>1</v>
      </c>
    </row>
    <row r="225">
      <c r="A225" s="4" t="s">
        <v>9</v>
      </c>
      <c r="B225" s="4" t="s">
        <v>396</v>
      </c>
      <c r="C225" s="4" t="s">
        <v>397</v>
      </c>
      <c r="D225" s="5">
        <v>0.3541666666666667</v>
      </c>
      <c r="E225" s="5">
        <v>0.4166666666666667</v>
      </c>
      <c r="F225" s="4" t="s">
        <v>411</v>
      </c>
      <c r="G225" s="4" t="s">
        <v>91</v>
      </c>
      <c r="H225" s="6">
        <v>42.0</v>
      </c>
      <c r="I225" s="4" t="s">
        <v>409</v>
      </c>
      <c r="J225" s="7">
        <f t="shared" si="1"/>
        <v>1</v>
      </c>
    </row>
    <row r="226">
      <c r="A226" s="4" t="s">
        <v>9</v>
      </c>
      <c r="B226" s="4" t="s">
        <v>396</v>
      </c>
      <c r="C226" s="4" t="s">
        <v>397</v>
      </c>
      <c r="D226" s="5">
        <v>0.3541666666666667</v>
      </c>
      <c r="E226" s="5">
        <v>0.4166666666666667</v>
      </c>
      <c r="F226" s="4" t="s">
        <v>412</v>
      </c>
      <c r="G226" s="4" t="s">
        <v>91</v>
      </c>
      <c r="H226" s="6">
        <v>42.0</v>
      </c>
      <c r="I226" s="4" t="s">
        <v>409</v>
      </c>
      <c r="J226" s="7">
        <f t="shared" si="1"/>
        <v>1</v>
      </c>
    </row>
    <row r="227">
      <c r="A227" s="4" t="s">
        <v>9</v>
      </c>
      <c r="B227" s="4" t="s">
        <v>396</v>
      </c>
      <c r="C227" s="4" t="s">
        <v>397</v>
      </c>
      <c r="D227" s="5">
        <v>0.3541666666666667</v>
      </c>
      <c r="E227" s="5">
        <v>0.4166666666666667</v>
      </c>
      <c r="F227" s="4" t="s">
        <v>413</v>
      </c>
      <c r="G227" s="4" t="s">
        <v>91</v>
      </c>
      <c r="H227" s="6">
        <v>42.0</v>
      </c>
      <c r="I227" s="4" t="s">
        <v>414</v>
      </c>
      <c r="J227" s="7">
        <f t="shared" si="1"/>
        <v>1</v>
      </c>
    </row>
    <row r="228">
      <c r="A228" s="4" t="s">
        <v>9</v>
      </c>
      <c r="B228" s="4" t="s">
        <v>396</v>
      </c>
      <c r="C228" s="4" t="s">
        <v>397</v>
      </c>
      <c r="D228" s="5">
        <v>0.3541666666666667</v>
      </c>
      <c r="E228" s="5">
        <v>0.4166666666666667</v>
      </c>
      <c r="F228" s="4" t="s">
        <v>415</v>
      </c>
      <c r="G228" s="4" t="s">
        <v>91</v>
      </c>
      <c r="H228" s="6">
        <v>42.0</v>
      </c>
      <c r="I228" s="4" t="s">
        <v>414</v>
      </c>
      <c r="J228" s="7">
        <f t="shared" si="1"/>
        <v>1</v>
      </c>
    </row>
    <row r="229">
      <c r="A229" s="4" t="s">
        <v>9</v>
      </c>
      <c r="B229" s="4" t="s">
        <v>416</v>
      </c>
      <c r="C229" s="4" t="s">
        <v>397</v>
      </c>
      <c r="D229" s="5">
        <v>0.4583333333333333</v>
      </c>
      <c r="E229" s="5">
        <v>0.5208333333333334</v>
      </c>
      <c r="F229" s="4" t="s">
        <v>417</v>
      </c>
      <c r="G229" s="4" t="s">
        <v>101</v>
      </c>
      <c r="H229" s="6">
        <v>41.0</v>
      </c>
      <c r="I229" s="4" t="s">
        <v>418</v>
      </c>
      <c r="J229" s="7">
        <f t="shared" si="1"/>
        <v>-1</v>
      </c>
    </row>
    <row r="230">
      <c r="A230" s="4" t="s">
        <v>9</v>
      </c>
      <c r="B230" s="4" t="s">
        <v>416</v>
      </c>
      <c r="C230" s="4" t="s">
        <v>397</v>
      </c>
      <c r="D230" s="5">
        <v>0.4583333333333333</v>
      </c>
      <c r="E230" s="5">
        <v>0.5208333333333334</v>
      </c>
      <c r="F230" s="4" t="s">
        <v>419</v>
      </c>
      <c r="G230" s="4" t="s">
        <v>101</v>
      </c>
      <c r="H230" s="6">
        <v>41.0</v>
      </c>
      <c r="I230" s="4" t="s">
        <v>418</v>
      </c>
      <c r="J230" s="7">
        <f t="shared" si="1"/>
        <v>-1</v>
      </c>
    </row>
    <row r="231">
      <c r="A231" s="4" t="s">
        <v>9</v>
      </c>
      <c r="B231" s="4" t="s">
        <v>416</v>
      </c>
      <c r="C231" s="4" t="s">
        <v>397</v>
      </c>
      <c r="D231" s="5">
        <v>0.4583333333333333</v>
      </c>
      <c r="E231" s="5">
        <v>0.5208333333333334</v>
      </c>
      <c r="F231" s="4" t="s">
        <v>420</v>
      </c>
      <c r="G231" s="4" t="s">
        <v>104</v>
      </c>
      <c r="H231" s="6">
        <v>40.0</v>
      </c>
      <c r="I231" s="4" t="s">
        <v>421</v>
      </c>
      <c r="J231" s="7">
        <f t="shared" si="1"/>
        <v>-1</v>
      </c>
    </row>
    <row r="232">
      <c r="A232" s="4" t="s">
        <v>9</v>
      </c>
      <c r="B232" s="4" t="s">
        <v>416</v>
      </c>
      <c r="C232" s="4" t="s">
        <v>397</v>
      </c>
      <c r="D232" s="5">
        <v>0.4583333333333333</v>
      </c>
      <c r="E232" s="5">
        <v>0.5208333333333334</v>
      </c>
      <c r="F232" s="4" t="s">
        <v>422</v>
      </c>
      <c r="G232" s="4" t="s">
        <v>104</v>
      </c>
      <c r="H232" s="6">
        <v>38.0</v>
      </c>
      <c r="I232" s="4" t="s">
        <v>421</v>
      </c>
      <c r="J232" s="7">
        <f t="shared" si="1"/>
        <v>-1</v>
      </c>
    </row>
    <row r="233">
      <c r="A233" s="4" t="s">
        <v>9</v>
      </c>
      <c r="B233" s="4" t="s">
        <v>416</v>
      </c>
      <c r="C233" s="4" t="s">
        <v>397</v>
      </c>
      <c r="D233" s="5">
        <v>0.4583333333333333</v>
      </c>
      <c r="E233" s="5">
        <v>0.5208333333333334</v>
      </c>
      <c r="F233" s="4" t="s">
        <v>423</v>
      </c>
      <c r="G233" s="4" t="s">
        <v>394</v>
      </c>
      <c r="H233" s="6">
        <v>37.0</v>
      </c>
      <c r="I233" s="4" t="s">
        <v>26</v>
      </c>
      <c r="J233" s="7">
        <f t="shared" si="1"/>
        <v>-1</v>
      </c>
    </row>
    <row r="234">
      <c r="A234" s="4" t="s">
        <v>9</v>
      </c>
      <c r="B234" s="4" t="s">
        <v>416</v>
      </c>
      <c r="C234" s="4" t="s">
        <v>397</v>
      </c>
      <c r="D234" s="5">
        <v>0.4583333333333333</v>
      </c>
      <c r="E234" s="5">
        <v>0.5208333333333334</v>
      </c>
      <c r="F234" s="4" t="s">
        <v>424</v>
      </c>
      <c r="G234" s="4" t="s">
        <v>394</v>
      </c>
      <c r="H234" s="6">
        <v>37.0</v>
      </c>
      <c r="I234" s="4" t="s">
        <v>26</v>
      </c>
      <c r="J234" s="7">
        <f t="shared" si="1"/>
        <v>-1</v>
      </c>
    </row>
    <row r="235">
      <c r="A235" s="4" t="s">
        <v>9</v>
      </c>
      <c r="B235" s="4" t="s">
        <v>416</v>
      </c>
      <c r="C235" s="4" t="s">
        <v>397</v>
      </c>
      <c r="D235" s="5">
        <v>0.4583333333333333</v>
      </c>
      <c r="E235" s="5">
        <v>0.5208333333333334</v>
      </c>
      <c r="F235" s="4" t="s">
        <v>425</v>
      </c>
      <c r="G235" s="4" t="s">
        <v>394</v>
      </c>
      <c r="H235" s="6">
        <v>38.0</v>
      </c>
      <c r="I235" s="4" t="s">
        <v>70</v>
      </c>
      <c r="J235" s="7">
        <f t="shared" si="1"/>
        <v>-1</v>
      </c>
    </row>
    <row r="236">
      <c r="A236" s="4" t="s">
        <v>9</v>
      </c>
      <c r="B236" s="4" t="s">
        <v>416</v>
      </c>
      <c r="C236" s="4" t="s">
        <v>397</v>
      </c>
      <c r="D236" s="5">
        <v>0.4583333333333333</v>
      </c>
      <c r="E236" s="5">
        <v>0.5208333333333334</v>
      </c>
      <c r="F236" s="4" t="s">
        <v>426</v>
      </c>
      <c r="G236" s="4" t="s">
        <v>394</v>
      </c>
      <c r="H236" s="6">
        <v>38.0</v>
      </c>
      <c r="I236" s="4" t="s">
        <v>70</v>
      </c>
      <c r="J236" s="7">
        <f t="shared" si="1"/>
        <v>-1</v>
      </c>
    </row>
    <row r="237">
      <c r="A237" s="4" t="s">
        <v>9</v>
      </c>
      <c r="B237" s="4" t="s">
        <v>416</v>
      </c>
      <c r="C237" s="4" t="s">
        <v>397</v>
      </c>
      <c r="D237" s="5">
        <v>0.4583333333333333</v>
      </c>
      <c r="E237" s="5">
        <v>0.5208333333333334</v>
      </c>
      <c r="F237" s="4" t="s">
        <v>427</v>
      </c>
      <c r="G237" s="4" t="s">
        <v>394</v>
      </c>
      <c r="H237" s="6">
        <v>33.0</v>
      </c>
      <c r="I237" s="4" t="s">
        <v>70</v>
      </c>
      <c r="J237" s="7">
        <f t="shared" si="1"/>
        <v>-1</v>
      </c>
    </row>
    <row r="238">
      <c r="A238" s="4" t="s">
        <v>9</v>
      </c>
      <c r="B238" s="4" t="s">
        <v>416</v>
      </c>
      <c r="C238" s="4" t="s">
        <v>397</v>
      </c>
      <c r="D238" s="5">
        <v>0.4583333333333333</v>
      </c>
      <c r="E238" s="5">
        <v>0.5208333333333334</v>
      </c>
      <c r="F238" s="4" t="s">
        <v>428</v>
      </c>
      <c r="G238" s="4" t="s">
        <v>212</v>
      </c>
      <c r="H238" s="6">
        <v>31.0</v>
      </c>
      <c r="I238" s="4" t="s">
        <v>429</v>
      </c>
      <c r="J238" s="7">
        <f t="shared" si="1"/>
        <v>-1</v>
      </c>
    </row>
    <row r="239">
      <c r="A239" s="4" t="s">
        <v>9</v>
      </c>
      <c r="B239" s="4" t="s">
        <v>416</v>
      </c>
      <c r="C239" s="4" t="s">
        <v>397</v>
      </c>
      <c r="D239" s="5">
        <v>0.4583333333333333</v>
      </c>
      <c r="E239" s="5">
        <v>0.5208333333333334</v>
      </c>
      <c r="F239" s="4" t="s">
        <v>430</v>
      </c>
      <c r="G239" s="4" t="s">
        <v>212</v>
      </c>
      <c r="H239" s="6">
        <v>41.0</v>
      </c>
      <c r="I239" s="4" t="s">
        <v>429</v>
      </c>
      <c r="J239" s="7">
        <f t="shared" si="1"/>
        <v>-1</v>
      </c>
    </row>
    <row r="240">
      <c r="A240" s="4" t="s">
        <v>9</v>
      </c>
      <c r="B240" s="4" t="s">
        <v>416</v>
      </c>
      <c r="C240" s="4" t="s">
        <v>397</v>
      </c>
      <c r="D240" s="5">
        <v>0.4583333333333333</v>
      </c>
      <c r="E240" s="5">
        <v>0.5208333333333334</v>
      </c>
      <c r="F240" s="4" t="s">
        <v>431</v>
      </c>
      <c r="G240" s="4" t="s">
        <v>212</v>
      </c>
      <c r="H240" s="6">
        <v>41.0</v>
      </c>
      <c r="I240" s="4" t="s">
        <v>432</v>
      </c>
      <c r="J240" s="7">
        <f t="shared" si="1"/>
        <v>-1</v>
      </c>
    </row>
    <row r="241">
      <c r="A241" s="4" t="s">
        <v>9</v>
      </c>
      <c r="B241" s="4" t="s">
        <v>416</v>
      </c>
      <c r="C241" s="4" t="s">
        <v>397</v>
      </c>
      <c r="D241" s="5">
        <v>0.4583333333333333</v>
      </c>
      <c r="E241" s="5">
        <v>0.5208333333333334</v>
      </c>
      <c r="F241" s="4" t="s">
        <v>433</v>
      </c>
      <c r="G241" s="4" t="s">
        <v>212</v>
      </c>
      <c r="H241" s="6">
        <v>42.0</v>
      </c>
      <c r="I241" s="4" t="s">
        <v>432</v>
      </c>
      <c r="J241" s="7">
        <f t="shared" si="1"/>
        <v>-1</v>
      </c>
    </row>
    <row r="242">
      <c r="A242" s="4" t="s">
        <v>9</v>
      </c>
      <c r="B242" s="4" t="s">
        <v>416</v>
      </c>
      <c r="C242" s="4" t="s">
        <v>397</v>
      </c>
      <c r="D242" s="5">
        <v>0.4583333333333333</v>
      </c>
      <c r="E242" s="5">
        <v>0.5208333333333334</v>
      </c>
      <c r="F242" s="4" t="s">
        <v>434</v>
      </c>
      <c r="G242" s="4" t="s">
        <v>212</v>
      </c>
      <c r="H242" s="6">
        <v>41.0</v>
      </c>
      <c r="I242" s="4" t="s">
        <v>435</v>
      </c>
      <c r="J242" s="7">
        <f t="shared" si="1"/>
        <v>-1</v>
      </c>
    </row>
    <row r="243">
      <c r="A243" s="4" t="s">
        <v>9</v>
      </c>
      <c r="B243" s="4" t="s">
        <v>416</v>
      </c>
      <c r="C243" s="4" t="s">
        <v>397</v>
      </c>
      <c r="D243" s="5">
        <v>0.4583333333333333</v>
      </c>
      <c r="E243" s="5">
        <v>0.5208333333333334</v>
      </c>
      <c r="F243" s="4" t="s">
        <v>436</v>
      </c>
      <c r="G243" s="4" t="s">
        <v>212</v>
      </c>
      <c r="H243" s="6">
        <v>41.0</v>
      </c>
      <c r="I243" s="4" t="s">
        <v>435</v>
      </c>
      <c r="J243" s="7">
        <f t="shared" si="1"/>
        <v>-1</v>
      </c>
    </row>
    <row r="244">
      <c r="A244" s="4" t="s">
        <v>9</v>
      </c>
      <c r="B244" s="4" t="s">
        <v>437</v>
      </c>
      <c r="C244" s="4" t="s">
        <v>397</v>
      </c>
      <c r="D244" s="5">
        <v>0.5625</v>
      </c>
      <c r="E244" s="5">
        <v>0.625</v>
      </c>
      <c r="F244" s="4" t="s">
        <v>438</v>
      </c>
      <c r="G244" s="4" t="s">
        <v>18</v>
      </c>
      <c r="H244" s="6">
        <v>1.0</v>
      </c>
      <c r="I244" s="4" t="s">
        <v>279</v>
      </c>
      <c r="J244" s="7">
        <f t="shared" si="1"/>
        <v>1</v>
      </c>
    </row>
    <row r="245">
      <c r="A245" s="4" t="s">
        <v>9</v>
      </c>
      <c r="B245" s="4" t="s">
        <v>437</v>
      </c>
      <c r="C245" s="4" t="s">
        <v>397</v>
      </c>
      <c r="D245" s="5">
        <v>0.5625</v>
      </c>
      <c r="E245" s="5">
        <v>0.625</v>
      </c>
      <c r="F245" s="4" t="s">
        <v>439</v>
      </c>
      <c r="G245" s="4" t="s">
        <v>18</v>
      </c>
      <c r="H245" s="6">
        <v>21.0</v>
      </c>
      <c r="I245" s="4" t="s">
        <v>279</v>
      </c>
      <c r="J245" s="7">
        <f t="shared" si="1"/>
        <v>1</v>
      </c>
    </row>
    <row r="246">
      <c r="A246" s="4" t="s">
        <v>9</v>
      </c>
      <c r="B246" s="4" t="s">
        <v>437</v>
      </c>
      <c r="C246" s="4" t="s">
        <v>397</v>
      </c>
      <c r="D246" s="5">
        <v>0.5625</v>
      </c>
      <c r="E246" s="5">
        <v>0.625</v>
      </c>
      <c r="F246" s="4" t="s">
        <v>440</v>
      </c>
      <c r="G246" s="4" t="s">
        <v>18</v>
      </c>
      <c r="H246" s="6">
        <v>38.0</v>
      </c>
      <c r="I246" s="4" t="s">
        <v>279</v>
      </c>
      <c r="J246" s="7">
        <f t="shared" si="1"/>
        <v>1</v>
      </c>
    </row>
    <row r="247">
      <c r="A247" s="4" t="s">
        <v>9</v>
      </c>
      <c r="B247" s="4" t="s">
        <v>437</v>
      </c>
      <c r="C247" s="4" t="s">
        <v>397</v>
      </c>
      <c r="D247" s="5">
        <v>0.5625</v>
      </c>
      <c r="E247" s="5">
        <v>0.625</v>
      </c>
      <c r="F247" s="4" t="s">
        <v>441</v>
      </c>
      <c r="G247" s="4" t="s">
        <v>18</v>
      </c>
      <c r="H247" s="6">
        <v>39.0</v>
      </c>
      <c r="I247" s="4" t="s">
        <v>442</v>
      </c>
      <c r="J247" s="7">
        <f t="shared" si="1"/>
        <v>1</v>
      </c>
    </row>
    <row r="248">
      <c r="A248" s="4" t="s">
        <v>9</v>
      </c>
      <c r="B248" s="4" t="s">
        <v>437</v>
      </c>
      <c r="C248" s="4" t="s">
        <v>397</v>
      </c>
      <c r="D248" s="5">
        <v>0.5625</v>
      </c>
      <c r="E248" s="5">
        <v>0.625</v>
      </c>
      <c r="F248" s="4" t="s">
        <v>443</v>
      </c>
      <c r="G248" s="4" t="s">
        <v>18</v>
      </c>
      <c r="H248" s="6">
        <v>40.0</v>
      </c>
      <c r="I248" s="4" t="s">
        <v>442</v>
      </c>
      <c r="J248" s="7">
        <f t="shared" si="1"/>
        <v>1</v>
      </c>
    </row>
    <row r="249">
      <c r="A249" s="4" t="s">
        <v>9</v>
      </c>
      <c r="B249" s="4" t="s">
        <v>437</v>
      </c>
      <c r="C249" s="4" t="s">
        <v>397</v>
      </c>
      <c r="D249" s="5">
        <v>0.5625</v>
      </c>
      <c r="E249" s="5">
        <v>0.625</v>
      </c>
      <c r="F249" s="4" t="s">
        <v>444</v>
      </c>
      <c r="G249" s="4" t="s">
        <v>445</v>
      </c>
      <c r="H249" s="6">
        <v>39.0</v>
      </c>
      <c r="I249" s="4" t="s">
        <v>93</v>
      </c>
      <c r="J249" s="7">
        <f t="shared" si="1"/>
        <v>1</v>
      </c>
    </row>
    <row r="250">
      <c r="A250" s="4" t="s">
        <v>9</v>
      </c>
      <c r="B250" s="4" t="s">
        <v>437</v>
      </c>
      <c r="C250" s="4" t="s">
        <v>397</v>
      </c>
      <c r="D250" s="5">
        <v>0.5625</v>
      </c>
      <c r="E250" s="5">
        <v>0.625</v>
      </c>
      <c r="F250" s="4" t="s">
        <v>446</v>
      </c>
      <c r="G250" s="4" t="s">
        <v>445</v>
      </c>
      <c r="H250" s="6">
        <v>39.0</v>
      </c>
      <c r="I250" s="4" t="s">
        <v>93</v>
      </c>
      <c r="J250" s="7">
        <f t="shared" si="1"/>
        <v>1</v>
      </c>
    </row>
    <row r="251">
      <c r="A251" s="4" t="s">
        <v>9</v>
      </c>
      <c r="B251" s="4" t="s">
        <v>437</v>
      </c>
      <c r="C251" s="4" t="s">
        <v>397</v>
      </c>
      <c r="D251" s="5">
        <v>0.5625</v>
      </c>
      <c r="E251" s="5">
        <v>0.625</v>
      </c>
      <c r="F251" s="4" t="s">
        <v>447</v>
      </c>
      <c r="G251" s="4" t="s">
        <v>445</v>
      </c>
      <c r="H251" s="6">
        <v>39.0</v>
      </c>
      <c r="I251" s="4" t="s">
        <v>93</v>
      </c>
      <c r="J251" s="7">
        <f t="shared" si="1"/>
        <v>1</v>
      </c>
    </row>
    <row r="252">
      <c r="A252" s="4" t="s">
        <v>9</v>
      </c>
      <c r="B252" s="4" t="s">
        <v>437</v>
      </c>
      <c r="C252" s="4" t="s">
        <v>397</v>
      </c>
      <c r="D252" s="5">
        <v>0.5625</v>
      </c>
      <c r="E252" s="5">
        <v>0.625</v>
      </c>
      <c r="F252" s="4" t="s">
        <v>448</v>
      </c>
      <c r="G252" s="4" t="s">
        <v>445</v>
      </c>
      <c r="H252" s="6">
        <v>38.0</v>
      </c>
      <c r="I252" s="4" t="s">
        <v>449</v>
      </c>
      <c r="J252" s="7">
        <f t="shared" si="1"/>
        <v>1</v>
      </c>
    </row>
    <row r="253">
      <c r="A253" s="4" t="s">
        <v>9</v>
      </c>
      <c r="B253" s="4" t="s">
        <v>437</v>
      </c>
      <c r="C253" s="4" t="s">
        <v>397</v>
      </c>
      <c r="D253" s="5">
        <v>0.5625</v>
      </c>
      <c r="E253" s="5">
        <v>0.625</v>
      </c>
      <c r="F253" s="4" t="s">
        <v>450</v>
      </c>
      <c r="G253" s="4" t="s">
        <v>445</v>
      </c>
      <c r="H253" s="6">
        <v>40.0</v>
      </c>
      <c r="I253" s="4" t="s">
        <v>449</v>
      </c>
      <c r="J253" s="7">
        <f t="shared" si="1"/>
        <v>1</v>
      </c>
    </row>
    <row r="254">
      <c r="A254" s="4" t="s">
        <v>9</v>
      </c>
      <c r="B254" s="4" t="s">
        <v>437</v>
      </c>
      <c r="C254" s="4" t="s">
        <v>397</v>
      </c>
      <c r="D254" s="5">
        <v>0.5625</v>
      </c>
      <c r="E254" s="5">
        <v>0.625</v>
      </c>
      <c r="F254" s="4" t="s">
        <v>451</v>
      </c>
      <c r="G254" s="4" t="s">
        <v>445</v>
      </c>
      <c r="H254" s="6">
        <v>40.0</v>
      </c>
      <c r="I254" s="4" t="s">
        <v>449</v>
      </c>
      <c r="J254" s="7">
        <f t="shared" si="1"/>
        <v>1</v>
      </c>
    </row>
    <row r="255">
      <c r="A255" s="4" t="s">
        <v>9</v>
      </c>
      <c r="B255" s="4" t="s">
        <v>437</v>
      </c>
      <c r="C255" s="4" t="s">
        <v>397</v>
      </c>
      <c r="D255" s="5">
        <v>0.5625</v>
      </c>
      <c r="E255" s="5">
        <v>0.625</v>
      </c>
      <c r="F255" s="4" t="s">
        <v>452</v>
      </c>
      <c r="G255" s="4" t="s">
        <v>445</v>
      </c>
      <c r="H255" s="6">
        <v>39.0</v>
      </c>
      <c r="I255" s="4" t="s">
        <v>449</v>
      </c>
      <c r="J255" s="7">
        <f t="shared" si="1"/>
        <v>1</v>
      </c>
    </row>
    <row r="256">
      <c r="A256" s="4" t="s">
        <v>9</v>
      </c>
      <c r="B256" s="4" t="s">
        <v>437</v>
      </c>
      <c r="C256" s="4" t="s">
        <v>397</v>
      </c>
      <c r="D256" s="5">
        <v>0.5625</v>
      </c>
      <c r="E256" s="5">
        <v>0.625</v>
      </c>
      <c r="F256" s="4" t="s">
        <v>453</v>
      </c>
      <c r="G256" s="4" t="s">
        <v>394</v>
      </c>
      <c r="H256" s="6">
        <v>38.0</v>
      </c>
      <c r="I256" s="4" t="s">
        <v>96</v>
      </c>
      <c r="J256" s="7">
        <f t="shared" si="1"/>
        <v>1</v>
      </c>
    </row>
    <row r="257">
      <c r="A257" s="4" t="s">
        <v>9</v>
      </c>
      <c r="B257" s="4" t="s">
        <v>437</v>
      </c>
      <c r="C257" s="4" t="s">
        <v>397</v>
      </c>
      <c r="D257" s="5">
        <v>0.5625</v>
      </c>
      <c r="E257" s="5">
        <v>0.625</v>
      </c>
      <c r="F257" s="4" t="s">
        <v>454</v>
      </c>
      <c r="G257" s="4" t="s">
        <v>394</v>
      </c>
      <c r="H257" s="6">
        <v>38.0</v>
      </c>
      <c r="I257" s="4" t="s">
        <v>96</v>
      </c>
      <c r="J257" s="7">
        <f t="shared" si="1"/>
        <v>1</v>
      </c>
    </row>
    <row r="258">
      <c r="A258" s="4" t="s">
        <v>9</v>
      </c>
      <c r="B258" s="4" t="s">
        <v>437</v>
      </c>
      <c r="C258" s="4" t="s">
        <v>397</v>
      </c>
      <c r="D258" s="5">
        <v>0.5625</v>
      </c>
      <c r="E258" s="5">
        <v>0.625</v>
      </c>
      <c r="F258" s="4" t="s">
        <v>455</v>
      </c>
      <c r="G258" s="4" t="s">
        <v>394</v>
      </c>
      <c r="H258" s="6">
        <v>38.0</v>
      </c>
      <c r="I258" s="4" t="s">
        <v>96</v>
      </c>
      <c r="J258" s="7">
        <f t="shared" si="1"/>
        <v>1</v>
      </c>
    </row>
    <row r="259">
      <c r="A259" s="4" t="s">
        <v>9</v>
      </c>
      <c r="B259" s="4" t="s">
        <v>437</v>
      </c>
      <c r="C259" s="4" t="s">
        <v>397</v>
      </c>
      <c r="D259" s="5">
        <v>0.5625</v>
      </c>
      <c r="E259" s="5">
        <v>0.625</v>
      </c>
      <c r="F259" s="4" t="s">
        <v>456</v>
      </c>
      <c r="G259" s="4" t="s">
        <v>394</v>
      </c>
      <c r="H259" s="6">
        <v>27.0</v>
      </c>
      <c r="I259" s="4" t="s">
        <v>457</v>
      </c>
      <c r="J259" s="7">
        <f t="shared" si="1"/>
        <v>1</v>
      </c>
    </row>
    <row r="260">
      <c r="A260" s="4" t="s">
        <v>9</v>
      </c>
      <c r="B260" s="4" t="s">
        <v>437</v>
      </c>
      <c r="C260" s="4" t="s">
        <v>397</v>
      </c>
      <c r="D260" s="5">
        <v>0.5625</v>
      </c>
      <c r="E260" s="5">
        <v>0.625</v>
      </c>
      <c r="F260" s="4" t="s">
        <v>458</v>
      </c>
      <c r="G260" s="4" t="s">
        <v>394</v>
      </c>
      <c r="H260" s="6">
        <v>38.0</v>
      </c>
      <c r="I260" s="4" t="s">
        <v>457</v>
      </c>
      <c r="J260" s="7">
        <f t="shared" si="1"/>
        <v>1</v>
      </c>
    </row>
    <row r="261">
      <c r="A261" s="4" t="s">
        <v>9</v>
      </c>
      <c r="B261" s="4" t="s">
        <v>437</v>
      </c>
      <c r="C261" s="4" t="s">
        <v>397</v>
      </c>
      <c r="D261" s="5">
        <v>0.5625</v>
      </c>
      <c r="E261" s="5">
        <v>0.625</v>
      </c>
      <c r="F261" s="4" t="s">
        <v>459</v>
      </c>
      <c r="G261" s="4" t="s">
        <v>460</v>
      </c>
      <c r="H261" s="6">
        <v>2.0</v>
      </c>
      <c r="I261" s="4" t="s">
        <v>457</v>
      </c>
      <c r="J261" s="7">
        <f t="shared" si="1"/>
        <v>1</v>
      </c>
    </row>
    <row r="262">
      <c r="A262" s="4" t="s">
        <v>348</v>
      </c>
      <c r="B262" s="4" t="s">
        <v>461</v>
      </c>
      <c r="C262" s="4" t="s">
        <v>397</v>
      </c>
      <c r="D262" s="5">
        <v>0.6666666666666666</v>
      </c>
      <c r="E262" s="5">
        <v>0.7291666666666666</v>
      </c>
      <c r="F262" s="4" t="s">
        <v>462</v>
      </c>
      <c r="G262" s="4" t="s">
        <v>45</v>
      </c>
      <c r="H262" s="6">
        <v>37.0</v>
      </c>
      <c r="I262" s="4" t="s">
        <v>463</v>
      </c>
      <c r="J262" s="7">
        <f t="shared" si="1"/>
        <v>-1</v>
      </c>
    </row>
    <row r="263">
      <c r="A263" s="4" t="s">
        <v>348</v>
      </c>
      <c r="B263" s="4" t="s">
        <v>461</v>
      </c>
      <c r="C263" s="4" t="s">
        <v>397</v>
      </c>
      <c r="D263" s="5">
        <v>0.6666666666666666</v>
      </c>
      <c r="E263" s="5">
        <v>0.7291666666666666</v>
      </c>
      <c r="F263" s="4" t="s">
        <v>464</v>
      </c>
      <c r="G263" s="4" t="s">
        <v>141</v>
      </c>
      <c r="H263" s="6">
        <v>40.0</v>
      </c>
      <c r="I263" s="4" t="s">
        <v>249</v>
      </c>
      <c r="J263" s="7">
        <f t="shared" si="1"/>
        <v>-1</v>
      </c>
    </row>
    <row r="264">
      <c r="A264" s="4" t="s">
        <v>348</v>
      </c>
      <c r="B264" s="4" t="s">
        <v>461</v>
      </c>
      <c r="C264" s="4" t="s">
        <v>397</v>
      </c>
      <c r="D264" s="5">
        <v>0.6666666666666666</v>
      </c>
      <c r="E264" s="5">
        <v>0.7291666666666666</v>
      </c>
      <c r="F264" s="4" t="s">
        <v>465</v>
      </c>
      <c r="G264" s="4" t="s">
        <v>107</v>
      </c>
      <c r="H264" s="6">
        <v>42.0</v>
      </c>
      <c r="I264" s="4" t="s">
        <v>466</v>
      </c>
      <c r="J264" s="7">
        <f t="shared" si="1"/>
        <v>-1</v>
      </c>
    </row>
    <row r="265">
      <c r="A265" s="4" t="s">
        <v>348</v>
      </c>
      <c r="B265" s="4" t="s">
        <v>461</v>
      </c>
      <c r="C265" s="4" t="s">
        <v>397</v>
      </c>
      <c r="D265" s="5">
        <v>0.6666666666666666</v>
      </c>
      <c r="E265" s="5">
        <v>0.7291666666666666</v>
      </c>
      <c r="F265" s="4" t="s">
        <v>467</v>
      </c>
      <c r="G265" s="4" t="s">
        <v>18</v>
      </c>
      <c r="H265" s="6">
        <v>37.0</v>
      </c>
      <c r="I265" s="4" t="s">
        <v>468</v>
      </c>
      <c r="J265" s="7">
        <f t="shared" si="1"/>
        <v>-1</v>
      </c>
    </row>
    <row r="266">
      <c r="A266" s="4" t="s">
        <v>348</v>
      </c>
      <c r="B266" s="4" t="s">
        <v>461</v>
      </c>
      <c r="C266" s="4" t="s">
        <v>397</v>
      </c>
      <c r="D266" s="5">
        <v>0.6666666666666666</v>
      </c>
      <c r="E266" s="5">
        <v>0.7291666666666666</v>
      </c>
      <c r="F266" s="4" t="s">
        <v>469</v>
      </c>
      <c r="G266" s="4" t="s">
        <v>291</v>
      </c>
      <c r="H266" s="6">
        <v>1.0</v>
      </c>
      <c r="I266" s="4" t="s">
        <v>347</v>
      </c>
      <c r="J266" s="7">
        <f t="shared" si="1"/>
        <v>-1</v>
      </c>
    </row>
    <row r="267">
      <c r="A267" s="4" t="s">
        <v>348</v>
      </c>
      <c r="B267" s="4" t="s">
        <v>461</v>
      </c>
      <c r="C267" s="4" t="s">
        <v>397</v>
      </c>
      <c r="D267" s="5">
        <v>0.6666666666666666</v>
      </c>
      <c r="E267" s="5">
        <v>0.7291666666666666</v>
      </c>
      <c r="F267" s="4" t="s">
        <v>470</v>
      </c>
      <c r="G267" s="4" t="s">
        <v>146</v>
      </c>
      <c r="H267" s="6">
        <v>37.0</v>
      </c>
      <c r="I267" s="4" t="s">
        <v>471</v>
      </c>
      <c r="J267" s="7">
        <f t="shared" si="1"/>
        <v>-1</v>
      </c>
    </row>
    <row r="268">
      <c r="A268" s="4" t="s">
        <v>348</v>
      </c>
      <c r="B268" s="4" t="s">
        <v>461</v>
      </c>
      <c r="C268" s="4" t="s">
        <v>397</v>
      </c>
      <c r="D268" s="5">
        <v>0.6666666666666666</v>
      </c>
      <c r="E268" s="5">
        <v>0.7291666666666666</v>
      </c>
      <c r="F268" s="4" t="s">
        <v>472</v>
      </c>
      <c r="G268" s="4" t="s">
        <v>291</v>
      </c>
      <c r="H268" s="6">
        <v>37.0</v>
      </c>
      <c r="I268" s="4" t="s">
        <v>347</v>
      </c>
      <c r="J268" s="7">
        <f t="shared" si="1"/>
        <v>-1</v>
      </c>
    </row>
    <row r="269">
      <c r="A269" s="4" t="s">
        <v>348</v>
      </c>
      <c r="B269" s="4" t="s">
        <v>461</v>
      </c>
      <c r="C269" s="4" t="s">
        <v>397</v>
      </c>
      <c r="D269" s="5">
        <v>0.6666666666666666</v>
      </c>
      <c r="E269" s="5">
        <v>0.7291666666666666</v>
      </c>
      <c r="F269" s="4" t="s">
        <v>473</v>
      </c>
      <c r="G269" s="4" t="s">
        <v>81</v>
      </c>
      <c r="H269" s="6">
        <v>43.0</v>
      </c>
      <c r="I269" s="4" t="s">
        <v>474</v>
      </c>
      <c r="J269" s="7">
        <f t="shared" si="1"/>
        <v>-1</v>
      </c>
    </row>
    <row r="270">
      <c r="A270" s="4" t="s">
        <v>348</v>
      </c>
      <c r="B270" s="4" t="s">
        <v>461</v>
      </c>
      <c r="C270" s="4" t="s">
        <v>397</v>
      </c>
      <c r="D270" s="5">
        <v>0.6666666666666666</v>
      </c>
      <c r="E270" s="5">
        <v>0.7291666666666666</v>
      </c>
      <c r="F270" s="4" t="s">
        <v>475</v>
      </c>
      <c r="G270" s="4" t="s">
        <v>81</v>
      </c>
      <c r="H270" s="6">
        <v>40.0</v>
      </c>
      <c r="I270" s="4" t="s">
        <v>476</v>
      </c>
      <c r="J270" s="7">
        <f t="shared" si="1"/>
        <v>-1</v>
      </c>
    </row>
    <row r="271">
      <c r="A271" s="4" t="s">
        <v>348</v>
      </c>
      <c r="B271" s="4" t="s">
        <v>461</v>
      </c>
      <c r="C271" s="4" t="s">
        <v>397</v>
      </c>
      <c r="D271" s="5">
        <v>0.6666666666666666</v>
      </c>
      <c r="E271" s="5">
        <v>0.7291666666666666</v>
      </c>
      <c r="F271" s="4" t="s">
        <v>477</v>
      </c>
      <c r="G271" s="4" t="s">
        <v>30</v>
      </c>
      <c r="H271" s="6">
        <v>25.0</v>
      </c>
      <c r="I271" s="4" t="s">
        <v>478</v>
      </c>
      <c r="J271" s="7">
        <f t="shared" si="1"/>
        <v>-1</v>
      </c>
    </row>
    <row r="272">
      <c r="A272" s="4" t="s">
        <v>348</v>
      </c>
      <c r="B272" s="4" t="s">
        <v>479</v>
      </c>
      <c r="C272" s="4" t="s">
        <v>397</v>
      </c>
      <c r="D272" s="5">
        <v>0.7916666666666666</v>
      </c>
      <c r="E272" s="5">
        <v>0.8541666666666666</v>
      </c>
      <c r="F272" s="4" t="s">
        <v>480</v>
      </c>
      <c r="G272" s="4" t="s">
        <v>251</v>
      </c>
      <c r="H272" s="6">
        <v>27.0</v>
      </c>
      <c r="I272" s="4" t="s">
        <v>252</v>
      </c>
      <c r="J272" s="7">
        <f t="shared" si="1"/>
        <v>1</v>
      </c>
    </row>
    <row r="273">
      <c r="A273" s="4" t="s">
        <v>348</v>
      </c>
      <c r="B273" s="4" t="s">
        <v>479</v>
      </c>
      <c r="C273" s="4" t="s">
        <v>397</v>
      </c>
      <c r="D273" s="5">
        <v>0.7916666666666666</v>
      </c>
      <c r="E273" s="5">
        <v>0.8541666666666666</v>
      </c>
      <c r="F273" s="4" t="s">
        <v>481</v>
      </c>
      <c r="G273" s="4" t="s">
        <v>308</v>
      </c>
      <c r="H273" s="6">
        <v>35.0</v>
      </c>
      <c r="I273" s="4" t="s">
        <v>387</v>
      </c>
      <c r="J273" s="7">
        <f t="shared" si="1"/>
        <v>1</v>
      </c>
    </row>
    <row r="274">
      <c r="A274" s="4" t="s">
        <v>348</v>
      </c>
      <c r="B274" s="4" t="s">
        <v>479</v>
      </c>
      <c r="C274" s="4" t="s">
        <v>397</v>
      </c>
      <c r="D274" s="5">
        <v>0.7916666666666666</v>
      </c>
      <c r="E274" s="5">
        <v>0.8541666666666666</v>
      </c>
      <c r="F274" s="4" t="s">
        <v>482</v>
      </c>
      <c r="G274" s="4" t="s">
        <v>107</v>
      </c>
      <c r="H274" s="6">
        <v>40.0</v>
      </c>
      <c r="I274" s="4" t="s">
        <v>466</v>
      </c>
      <c r="J274" s="7">
        <f t="shared" si="1"/>
        <v>1</v>
      </c>
    </row>
    <row r="275">
      <c r="A275" s="4" t="s">
        <v>348</v>
      </c>
      <c r="B275" s="4" t="s">
        <v>479</v>
      </c>
      <c r="C275" s="4" t="s">
        <v>397</v>
      </c>
      <c r="D275" s="5">
        <v>0.7916666666666666</v>
      </c>
      <c r="E275" s="5">
        <v>0.8541666666666666</v>
      </c>
      <c r="F275" s="4" t="s">
        <v>483</v>
      </c>
      <c r="G275" s="4" t="s">
        <v>318</v>
      </c>
      <c r="H275" s="6">
        <v>32.0</v>
      </c>
      <c r="I275" s="4" t="s">
        <v>484</v>
      </c>
      <c r="J275" s="7">
        <f t="shared" si="1"/>
        <v>1</v>
      </c>
    </row>
    <row r="276">
      <c r="A276" s="4" t="s">
        <v>348</v>
      </c>
      <c r="B276" s="4" t="s">
        <v>479</v>
      </c>
      <c r="C276" s="4" t="s">
        <v>397</v>
      </c>
      <c r="D276" s="5">
        <v>0.7916666666666666</v>
      </c>
      <c r="E276" s="5">
        <v>0.8541666666666666</v>
      </c>
      <c r="F276" s="4" t="s">
        <v>485</v>
      </c>
      <c r="G276" s="4" t="s">
        <v>18</v>
      </c>
      <c r="H276" s="6">
        <v>37.0</v>
      </c>
      <c r="I276" s="4" t="s">
        <v>468</v>
      </c>
      <c r="J276" s="7">
        <f t="shared" si="1"/>
        <v>1</v>
      </c>
    </row>
    <row r="277">
      <c r="A277" s="4" t="s">
        <v>348</v>
      </c>
      <c r="B277" s="4" t="s">
        <v>479</v>
      </c>
      <c r="C277" s="4" t="s">
        <v>397</v>
      </c>
      <c r="D277" s="5">
        <v>0.7916666666666666</v>
      </c>
      <c r="E277" s="5">
        <v>0.8541666666666666</v>
      </c>
      <c r="F277" s="4" t="s">
        <v>486</v>
      </c>
      <c r="G277" s="4" t="s">
        <v>81</v>
      </c>
      <c r="H277" s="6">
        <v>41.0</v>
      </c>
      <c r="I277" s="4" t="s">
        <v>474</v>
      </c>
      <c r="J277" s="7">
        <f t="shared" si="1"/>
        <v>1</v>
      </c>
    </row>
    <row r="278">
      <c r="A278" s="4" t="s">
        <v>348</v>
      </c>
      <c r="B278" s="4" t="s">
        <v>479</v>
      </c>
      <c r="C278" s="4" t="s">
        <v>397</v>
      </c>
      <c r="D278" s="5">
        <v>0.7916666666666666</v>
      </c>
      <c r="E278" s="5">
        <v>0.8541666666666666</v>
      </c>
      <c r="F278" s="4" t="s">
        <v>487</v>
      </c>
      <c r="G278" s="4" t="s">
        <v>85</v>
      </c>
      <c r="H278" s="6">
        <v>19.0</v>
      </c>
      <c r="I278" s="4" t="s">
        <v>488</v>
      </c>
      <c r="J278" s="7">
        <f t="shared" si="1"/>
        <v>1</v>
      </c>
    </row>
    <row r="279">
      <c r="A279" s="4" t="s">
        <v>348</v>
      </c>
      <c r="B279" s="4" t="s">
        <v>479</v>
      </c>
      <c r="C279" s="4" t="s">
        <v>397</v>
      </c>
      <c r="D279" s="5">
        <v>0.7916666666666666</v>
      </c>
      <c r="E279" s="5">
        <v>0.8541666666666666</v>
      </c>
      <c r="F279" s="4" t="s">
        <v>489</v>
      </c>
      <c r="G279" s="4" t="s">
        <v>371</v>
      </c>
      <c r="H279" s="6">
        <v>26.0</v>
      </c>
      <c r="I279" s="4" t="s">
        <v>372</v>
      </c>
      <c r="J279" s="7">
        <f t="shared" si="1"/>
        <v>1</v>
      </c>
    </row>
    <row r="280">
      <c r="A280" s="4" t="s">
        <v>348</v>
      </c>
      <c r="B280" s="4" t="s">
        <v>479</v>
      </c>
      <c r="C280" s="4" t="s">
        <v>397</v>
      </c>
      <c r="D280" s="5">
        <v>0.7916666666666666</v>
      </c>
      <c r="E280" s="5">
        <v>0.8541666666666666</v>
      </c>
      <c r="F280" s="4" t="s">
        <v>490</v>
      </c>
      <c r="G280" s="4" t="s">
        <v>491</v>
      </c>
      <c r="H280" s="6">
        <v>22.0</v>
      </c>
      <c r="I280" s="4" t="s">
        <v>395</v>
      </c>
      <c r="J280" s="7">
        <f t="shared" si="1"/>
        <v>1</v>
      </c>
    </row>
    <row r="281">
      <c r="A281" s="4" t="s">
        <v>348</v>
      </c>
      <c r="B281" s="4" t="s">
        <v>479</v>
      </c>
      <c r="C281" s="4" t="s">
        <v>397</v>
      </c>
      <c r="D281" s="5">
        <v>0.7916666666666666</v>
      </c>
      <c r="E281" s="5">
        <v>0.8541666666666666</v>
      </c>
      <c r="F281" s="4" t="s">
        <v>492</v>
      </c>
      <c r="G281" s="4" t="s">
        <v>30</v>
      </c>
      <c r="H281" s="6">
        <v>31.0</v>
      </c>
      <c r="I281" s="4" t="s">
        <v>478</v>
      </c>
      <c r="J281" s="7">
        <f t="shared" si="1"/>
        <v>1</v>
      </c>
    </row>
    <row r="282">
      <c r="A282" s="4" t="s">
        <v>9</v>
      </c>
      <c r="B282" s="4" t="s">
        <v>493</v>
      </c>
      <c r="C282" s="4" t="s">
        <v>494</v>
      </c>
      <c r="D282" s="5">
        <v>0.3541666666666667</v>
      </c>
      <c r="E282" s="5">
        <v>0.4166666666666667</v>
      </c>
      <c r="F282" s="4" t="s">
        <v>495</v>
      </c>
      <c r="G282" s="4" t="s">
        <v>391</v>
      </c>
      <c r="H282" s="6">
        <v>38.0</v>
      </c>
      <c r="I282" s="4" t="s">
        <v>49</v>
      </c>
      <c r="J282" s="7">
        <f t="shared" si="1"/>
        <v>-1</v>
      </c>
    </row>
    <row r="283">
      <c r="A283" s="4" t="s">
        <v>9</v>
      </c>
      <c r="B283" s="4" t="s">
        <v>493</v>
      </c>
      <c r="C283" s="4" t="s">
        <v>494</v>
      </c>
      <c r="D283" s="5">
        <v>0.3541666666666667</v>
      </c>
      <c r="E283" s="5">
        <v>0.4166666666666667</v>
      </c>
      <c r="F283" s="4" t="s">
        <v>496</v>
      </c>
      <c r="G283" s="4" t="s">
        <v>391</v>
      </c>
      <c r="H283" s="6">
        <v>38.0</v>
      </c>
      <c r="I283" s="4" t="s">
        <v>49</v>
      </c>
      <c r="J283" s="7">
        <f t="shared" si="1"/>
        <v>-1</v>
      </c>
    </row>
    <row r="284">
      <c r="A284" s="4" t="s">
        <v>9</v>
      </c>
      <c r="B284" s="4" t="s">
        <v>493</v>
      </c>
      <c r="C284" s="4" t="s">
        <v>494</v>
      </c>
      <c r="D284" s="5">
        <v>0.3541666666666667</v>
      </c>
      <c r="E284" s="5">
        <v>0.4166666666666667</v>
      </c>
      <c r="F284" s="4" t="s">
        <v>497</v>
      </c>
      <c r="G284" s="4" t="s">
        <v>339</v>
      </c>
      <c r="H284" s="6">
        <v>37.0</v>
      </c>
      <c r="I284" s="4" t="s">
        <v>498</v>
      </c>
      <c r="J284" s="7">
        <f t="shared" si="1"/>
        <v>-1</v>
      </c>
    </row>
    <row r="285">
      <c r="A285" s="4" t="s">
        <v>9</v>
      </c>
      <c r="B285" s="4" t="s">
        <v>493</v>
      </c>
      <c r="C285" s="4" t="s">
        <v>494</v>
      </c>
      <c r="D285" s="5">
        <v>0.3541666666666667</v>
      </c>
      <c r="E285" s="5">
        <v>0.4166666666666667</v>
      </c>
      <c r="F285" s="4" t="s">
        <v>499</v>
      </c>
      <c r="G285" s="4" t="s">
        <v>339</v>
      </c>
      <c r="H285" s="6">
        <v>36.0</v>
      </c>
      <c r="I285" s="4" t="s">
        <v>498</v>
      </c>
      <c r="J285" s="7">
        <f t="shared" si="1"/>
        <v>-1</v>
      </c>
    </row>
    <row r="286">
      <c r="A286" s="4" t="s">
        <v>9</v>
      </c>
      <c r="B286" s="4" t="s">
        <v>493</v>
      </c>
      <c r="C286" s="4" t="s">
        <v>494</v>
      </c>
      <c r="D286" s="5">
        <v>0.3541666666666667</v>
      </c>
      <c r="E286" s="5">
        <v>0.4166666666666667</v>
      </c>
      <c r="F286" s="4" t="s">
        <v>500</v>
      </c>
      <c r="G286" s="4" t="s">
        <v>301</v>
      </c>
      <c r="H286" s="6">
        <v>40.0</v>
      </c>
      <c r="I286" s="4" t="s">
        <v>501</v>
      </c>
      <c r="J286" s="7">
        <f t="shared" si="1"/>
        <v>-1</v>
      </c>
    </row>
    <row r="287">
      <c r="A287" s="4" t="s">
        <v>9</v>
      </c>
      <c r="B287" s="4" t="s">
        <v>493</v>
      </c>
      <c r="C287" s="4" t="s">
        <v>494</v>
      </c>
      <c r="D287" s="5">
        <v>0.3541666666666667</v>
      </c>
      <c r="E287" s="5">
        <v>0.4166666666666667</v>
      </c>
      <c r="F287" s="4" t="s">
        <v>502</v>
      </c>
      <c r="G287" s="4" t="s">
        <v>212</v>
      </c>
      <c r="H287" s="6">
        <v>30.0</v>
      </c>
      <c r="I287" s="4" t="s">
        <v>503</v>
      </c>
      <c r="J287" s="7">
        <f t="shared" si="1"/>
        <v>-1</v>
      </c>
    </row>
    <row r="288">
      <c r="A288" s="4" t="s">
        <v>9</v>
      </c>
      <c r="B288" s="4" t="s">
        <v>493</v>
      </c>
      <c r="C288" s="4" t="s">
        <v>494</v>
      </c>
      <c r="D288" s="5">
        <v>0.3541666666666667</v>
      </c>
      <c r="E288" s="5">
        <v>0.4166666666666667</v>
      </c>
      <c r="F288" s="4" t="s">
        <v>504</v>
      </c>
      <c r="G288" s="4" t="s">
        <v>212</v>
      </c>
      <c r="H288" s="6">
        <v>31.0</v>
      </c>
      <c r="I288" s="4" t="s">
        <v>505</v>
      </c>
      <c r="J288" s="7">
        <f t="shared" si="1"/>
        <v>-1</v>
      </c>
    </row>
    <row r="289">
      <c r="A289" s="4" t="s">
        <v>9</v>
      </c>
      <c r="B289" s="4" t="s">
        <v>493</v>
      </c>
      <c r="C289" s="4" t="s">
        <v>494</v>
      </c>
      <c r="D289" s="5">
        <v>0.3541666666666667</v>
      </c>
      <c r="E289" s="5">
        <v>0.4166666666666667</v>
      </c>
      <c r="F289" s="4" t="s">
        <v>506</v>
      </c>
      <c r="G289" s="4" t="s">
        <v>212</v>
      </c>
      <c r="H289" s="6">
        <v>29.0</v>
      </c>
      <c r="I289" s="4" t="s">
        <v>505</v>
      </c>
      <c r="J289" s="7">
        <f t="shared" si="1"/>
        <v>-1</v>
      </c>
    </row>
    <row r="290">
      <c r="A290" s="4" t="s">
        <v>9</v>
      </c>
      <c r="B290" s="4" t="s">
        <v>493</v>
      </c>
      <c r="C290" s="4" t="s">
        <v>494</v>
      </c>
      <c r="D290" s="5">
        <v>0.3541666666666667</v>
      </c>
      <c r="E290" s="5">
        <v>0.4166666666666667</v>
      </c>
      <c r="F290" s="4" t="s">
        <v>507</v>
      </c>
      <c r="G290" s="4" t="s">
        <v>212</v>
      </c>
      <c r="H290" s="6">
        <v>41.0</v>
      </c>
      <c r="I290" s="4" t="s">
        <v>503</v>
      </c>
      <c r="J290" s="7">
        <f t="shared" si="1"/>
        <v>-1</v>
      </c>
    </row>
    <row r="291">
      <c r="A291" s="4" t="s">
        <v>9</v>
      </c>
      <c r="B291" s="4" t="s">
        <v>493</v>
      </c>
      <c r="C291" s="4" t="s">
        <v>494</v>
      </c>
      <c r="D291" s="5">
        <v>0.3541666666666667</v>
      </c>
      <c r="E291" s="5">
        <v>0.4166666666666667</v>
      </c>
      <c r="F291" s="4" t="s">
        <v>508</v>
      </c>
      <c r="G291" s="4" t="s">
        <v>88</v>
      </c>
      <c r="H291" s="6">
        <v>36.0</v>
      </c>
      <c r="I291" s="4" t="s">
        <v>503</v>
      </c>
      <c r="J291" s="7">
        <f t="shared" si="1"/>
        <v>-1</v>
      </c>
    </row>
    <row r="292">
      <c r="A292" s="4" t="s">
        <v>9</v>
      </c>
      <c r="B292" s="4" t="s">
        <v>493</v>
      </c>
      <c r="C292" s="4" t="s">
        <v>494</v>
      </c>
      <c r="D292" s="5">
        <v>0.3541666666666667</v>
      </c>
      <c r="E292" s="5">
        <v>0.4166666666666667</v>
      </c>
      <c r="F292" s="4" t="s">
        <v>509</v>
      </c>
      <c r="G292" s="4" t="s">
        <v>88</v>
      </c>
      <c r="H292" s="6">
        <v>34.0</v>
      </c>
      <c r="I292" s="4" t="s">
        <v>503</v>
      </c>
      <c r="J292" s="7">
        <f t="shared" si="1"/>
        <v>-1</v>
      </c>
    </row>
    <row r="293">
      <c r="A293" s="4" t="s">
        <v>9</v>
      </c>
      <c r="B293" s="4" t="s">
        <v>493</v>
      </c>
      <c r="C293" s="4" t="s">
        <v>494</v>
      </c>
      <c r="D293" s="5">
        <v>0.3541666666666667</v>
      </c>
      <c r="E293" s="5">
        <v>0.4166666666666667</v>
      </c>
      <c r="F293" s="4" t="s">
        <v>510</v>
      </c>
      <c r="G293" s="4" t="s">
        <v>91</v>
      </c>
      <c r="H293" s="6">
        <v>42.0</v>
      </c>
      <c r="I293" s="4" t="s">
        <v>511</v>
      </c>
      <c r="J293" s="7">
        <f t="shared" si="1"/>
        <v>-1</v>
      </c>
    </row>
    <row r="294">
      <c r="A294" s="4" t="s">
        <v>9</v>
      </c>
      <c r="B294" s="4" t="s">
        <v>493</v>
      </c>
      <c r="C294" s="4" t="s">
        <v>494</v>
      </c>
      <c r="D294" s="5">
        <v>0.3541666666666667</v>
      </c>
      <c r="E294" s="5">
        <v>0.4166666666666667</v>
      </c>
      <c r="F294" s="4" t="s">
        <v>512</v>
      </c>
      <c r="G294" s="4" t="s">
        <v>91</v>
      </c>
      <c r="H294" s="6">
        <v>42.0</v>
      </c>
      <c r="I294" s="4" t="s">
        <v>511</v>
      </c>
      <c r="J294" s="7">
        <f t="shared" si="1"/>
        <v>-1</v>
      </c>
    </row>
    <row r="295">
      <c r="A295" s="4" t="s">
        <v>9</v>
      </c>
      <c r="B295" s="4" t="s">
        <v>493</v>
      </c>
      <c r="C295" s="4" t="s">
        <v>494</v>
      </c>
      <c r="D295" s="5">
        <v>0.3541666666666667</v>
      </c>
      <c r="E295" s="5">
        <v>0.4166666666666667</v>
      </c>
      <c r="F295" s="4" t="s">
        <v>513</v>
      </c>
      <c r="G295" s="4" t="s">
        <v>91</v>
      </c>
      <c r="H295" s="6">
        <v>42.0</v>
      </c>
      <c r="I295" s="4" t="s">
        <v>511</v>
      </c>
      <c r="J295" s="7">
        <f t="shared" si="1"/>
        <v>-1</v>
      </c>
    </row>
    <row r="296">
      <c r="A296" s="4" t="s">
        <v>9</v>
      </c>
      <c r="B296" s="4" t="s">
        <v>514</v>
      </c>
      <c r="C296" s="4" t="s">
        <v>494</v>
      </c>
      <c r="D296" s="5">
        <v>0.4791666666666667</v>
      </c>
      <c r="E296" s="5">
        <v>0.5416666666666666</v>
      </c>
      <c r="F296" s="4" t="s">
        <v>515</v>
      </c>
      <c r="G296" s="4" t="s">
        <v>220</v>
      </c>
      <c r="H296" s="6">
        <v>39.0</v>
      </c>
      <c r="I296" s="4" t="s">
        <v>516</v>
      </c>
      <c r="J296" s="7">
        <f t="shared" si="1"/>
        <v>1</v>
      </c>
    </row>
    <row r="297">
      <c r="A297" s="4" t="s">
        <v>9</v>
      </c>
      <c r="B297" s="4" t="s">
        <v>514</v>
      </c>
      <c r="C297" s="4" t="s">
        <v>494</v>
      </c>
      <c r="D297" s="5">
        <v>0.4791666666666667</v>
      </c>
      <c r="E297" s="5">
        <v>0.5416666666666666</v>
      </c>
      <c r="F297" s="4" t="s">
        <v>517</v>
      </c>
      <c r="G297" s="4" t="s">
        <v>220</v>
      </c>
      <c r="H297" s="6">
        <v>39.0</v>
      </c>
      <c r="I297" s="4" t="s">
        <v>516</v>
      </c>
      <c r="J297" s="7">
        <f t="shared" si="1"/>
        <v>1</v>
      </c>
    </row>
    <row r="298">
      <c r="A298" s="4" t="s">
        <v>9</v>
      </c>
      <c r="B298" s="4" t="s">
        <v>514</v>
      </c>
      <c r="C298" s="4" t="s">
        <v>494</v>
      </c>
      <c r="D298" s="5">
        <v>0.4791666666666667</v>
      </c>
      <c r="E298" s="5">
        <v>0.5416666666666666</v>
      </c>
      <c r="F298" s="4" t="s">
        <v>518</v>
      </c>
      <c r="G298" s="4" t="s">
        <v>318</v>
      </c>
      <c r="H298" s="6">
        <v>41.0</v>
      </c>
      <c r="I298" s="4" t="s">
        <v>519</v>
      </c>
      <c r="J298" s="7">
        <f t="shared" si="1"/>
        <v>1</v>
      </c>
    </row>
    <row r="299">
      <c r="A299" s="4" t="s">
        <v>9</v>
      </c>
      <c r="B299" s="4" t="s">
        <v>514</v>
      </c>
      <c r="C299" s="4" t="s">
        <v>494</v>
      </c>
      <c r="D299" s="5">
        <v>0.4791666666666667</v>
      </c>
      <c r="E299" s="5">
        <v>0.5416666666666666</v>
      </c>
      <c r="F299" s="4" t="s">
        <v>520</v>
      </c>
      <c r="G299" s="4" t="s">
        <v>318</v>
      </c>
      <c r="H299" s="6">
        <v>42.0</v>
      </c>
      <c r="I299" s="4" t="s">
        <v>519</v>
      </c>
      <c r="J299" s="7">
        <f t="shared" si="1"/>
        <v>1</v>
      </c>
    </row>
    <row r="300">
      <c r="A300" s="4" t="s">
        <v>9</v>
      </c>
      <c r="B300" s="4" t="s">
        <v>514</v>
      </c>
      <c r="C300" s="4" t="s">
        <v>494</v>
      </c>
      <c r="D300" s="5">
        <v>0.4791666666666667</v>
      </c>
      <c r="E300" s="5">
        <v>0.5416666666666666</v>
      </c>
      <c r="F300" s="4" t="s">
        <v>521</v>
      </c>
      <c r="G300" s="4" t="s">
        <v>391</v>
      </c>
      <c r="H300" s="6">
        <v>40.0</v>
      </c>
      <c r="I300" s="4" t="s">
        <v>522</v>
      </c>
      <c r="J300" s="7">
        <f t="shared" si="1"/>
        <v>1</v>
      </c>
    </row>
    <row r="301">
      <c r="A301" s="4" t="s">
        <v>9</v>
      </c>
      <c r="B301" s="4" t="s">
        <v>514</v>
      </c>
      <c r="C301" s="4" t="s">
        <v>494</v>
      </c>
      <c r="D301" s="5">
        <v>0.4791666666666667</v>
      </c>
      <c r="E301" s="5">
        <v>0.5416666666666666</v>
      </c>
      <c r="F301" s="4" t="s">
        <v>523</v>
      </c>
      <c r="G301" s="4" t="s">
        <v>85</v>
      </c>
      <c r="H301" s="6">
        <v>41.0</v>
      </c>
      <c r="I301" s="4" t="s">
        <v>524</v>
      </c>
      <c r="J301" s="7">
        <f t="shared" si="1"/>
        <v>1</v>
      </c>
    </row>
    <row r="302">
      <c r="A302" s="4" t="s">
        <v>9</v>
      </c>
      <c r="B302" s="4" t="s">
        <v>514</v>
      </c>
      <c r="C302" s="4" t="s">
        <v>494</v>
      </c>
      <c r="D302" s="5">
        <v>0.4791666666666667</v>
      </c>
      <c r="E302" s="5">
        <v>0.5416666666666666</v>
      </c>
      <c r="F302" s="4" t="s">
        <v>525</v>
      </c>
      <c r="G302" s="4" t="s">
        <v>85</v>
      </c>
      <c r="H302" s="6">
        <v>40.0</v>
      </c>
      <c r="I302" s="4" t="s">
        <v>524</v>
      </c>
      <c r="J302" s="7">
        <f t="shared" si="1"/>
        <v>1</v>
      </c>
    </row>
    <row r="303">
      <c r="A303" s="4" t="s">
        <v>9</v>
      </c>
      <c r="B303" s="4" t="s">
        <v>514</v>
      </c>
      <c r="C303" s="4" t="s">
        <v>494</v>
      </c>
      <c r="D303" s="5">
        <v>0.4791666666666667</v>
      </c>
      <c r="E303" s="5">
        <v>0.5416666666666666</v>
      </c>
      <c r="F303" s="4" t="s">
        <v>526</v>
      </c>
      <c r="G303" s="4" t="s">
        <v>491</v>
      </c>
      <c r="H303" s="6">
        <v>41.0</v>
      </c>
      <c r="I303" s="4" t="s">
        <v>243</v>
      </c>
      <c r="J303" s="7">
        <f t="shared" si="1"/>
        <v>1</v>
      </c>
    </row>
    <row r="304">
      <c r="A304" s="4" t="s">
        <v>9</v>
      </c>
      <c r="B304" s="4" t="s">
        <v>514</v>
      </c>
      <c r="C304" s="4" t="s">
        <v>494</v>
      </c>
      <c r="D304" s="5">
        <v>0.4791666666666667</v>
      </c>
      <c r="E304" s="5">
        <v>0.5416666666666666</v>
      </c>
      <c r="F304" s="4" t="s">
        <v>527</v>
      </c>
      <c r="G304" s="4" t="s">
        <v>491</v>
      </c>
      <c r="H304" s="6">
        <v>42.0</v>
      </c>
      <c r="I304" s="4" t="s">
        <v>528</v>
      </c>
      <c r="J304" s="7">
        <f t="shared" si="1"/>
        <v>1</v>
      </c>
    </row>
    <row r="305">
      <c r="A305" s="4" t="s">
        <v>9</v>
      </c>
      <c r="B305" s="4" t="s">
        <v>514</v>
      </c>
      <c r="C305" s="4" t="s">
        <v>494</v>
      </c>
      <c r="D305" s="5">
        <v>0.4791666666666667</v>
      </c>
      <c r="E305" s="5">
        <v>0.5416666666666666</v>
      </c>
      <c r="F305" s="4" t="s">
        <v>529</v>
      </c>
      <c r="G305" s="4" t="s">
        <v>491</v>
      </c>
      <c r="H305" s="6">
        <v>40.0</v>
      </c>
      <c r="I305" s="4" t="s">
        <v>528</v>
      </c>
      <c r="J305" s="7">
        <f t="shared" si="1"/>
        <v>1</v>
      </c>
    </row>
    <row r="306">
      <c r="A306" s="4" t="s">
        <v>9</v>
      </c>
      <c r="B306" s="4" t="s">
        <v>514</v>
      </c>
      <c r="C306" s="4" t="s">
        <v>494</v>
      </c>
      <c r="D306" s="5">
        <v>0.4791666666666667</v>
      </c>
      <c r="E306" s="5">
        <v>0.5416666666666666</v>
      </c>
      <c r="F306" s="4" t="s">
        <v>530</v>
      </c>
      <c r="G306" s="4" t="s">
        <v>88</v>
      </c>
      <c r="H306" s="6">
        <v>2.0</v>
      </c>
      <c r="I306" s="4" t="s">
        <v>531</v>
      </c>
      <c r="J306" s="7">
        <f t="shared" si="1"/>
        <v>1</v>
      </c>
    </row>
    <row r="307">
      <c r="A307" s="4" t="s">
        <v>9</v>
      </c>
      <c r="B307" s="4" t="s">
        <v>514</v>
      </c>
      <c r="C307" s="4" t="s">
        <v>494</v>
      </c>
      <c r="D307" s="5">
        <v>0.4791666666666667</v>
      </c>
      <c r="E307" s="5">
        <v>0.5416666666666666</v>
      </c>
      <c r="F307" s="4" t="s">
        <v>532</v>
      </c>
      <c r="G307" s="4" t="s">
        <v>88</v>
      </c>
      <c r="H307" s="6">
        <v>40.0</v>
      </c>
      <c r="I307" s="4" t="s">
        <v>505</v>
      </c>
      <c r="J307" s="7">
        <f t="shared" si="1"/>
        <v>1</v>
      </c>
    </row>
    <row r="308">
      <c r="A308" s="4" t="s">
        <v>9</v>
      </c>
      <c r="B308" s="4" t="s">
        <v>514</v>
      </c>
      <c r="C308" s="4" t="s">
        <v>494</v>
      </c>
      <c r="D308" s="5">
        <v>0.4791666666666667</v>
      </c>
      <c r="E308" s="5">
        <v>0.5416666666666666</v>
      </c>
      <c r="F308" s="4" t="s">
        <v>533</v>
      </c>
      <c r="G308" s="4" t="s">
        <v>88</v>
      </c>
      <c r="H308" s="6">
        <v>40.0</v>
      </c>
      <c r="I308" s="4" t="s">
        <v>505</v>
      </c>
      <c r="J308" s="7">
        <f t="shared" si="1"/>
        <v>1</v>
      </c>
    </row>
    <row r="309">
      <c r="A309" s="4" t="s">
        <v>9</v>
      </c>
      <c r="B309" s="4" t="s">
        <v>514</v>
      </c>
      <c r="C309" s="4" t="s">
        <v>494</v>
      </c>
      <c r="D309" s="5">
        <v>0.4791666666666667</v>
      </c>
      <c r="E309" s="5">
        <v>0.5416666666666666</v>
      </c>
      <c r="F309" s="4" t="s">
        <v>534</v>
      </c>
      <c r="G309" s="4" t="s">
        <v>88</v>
      </c>
      <c r="H309" s="6">
        <v>40.0</v>
      </c>
      <c r="I309" s="4" t="s">
        <v>531</v>
      </c>
      <c r="J309" s="7">
        <f t="shared" si="1"/>
        <v>1</v>
      </c>
    </row>
    <row r="310">
      <c r="A310" s="4" t="s">
        <v>9</v>
      </c>
      <c r="B310" s="4" t="s">
        <v>514</v>
      </c>
      <c r="C310" s="4" t="s">
        <v>494</v>
      </c>
      <c r="D310" s="5">
        <v>0.4791666666666667</v>
      </c>
      <c r="E310" s="5">
        <v>0.5416666666666666</v>
      </c>
      <c r="F310" s="4" t="s">
        <v>535</v>
      </c>
      <c r="G310" s="4" t="s">
        <v>88</v>
      </c>
      <c r="H310" s="6">
        <v>37.0</v>
      </c>
      <c r="I310" s="4" t="s">
        <v>531</v>
      </c>
      <c r="J310" s="7">
        <f t="shared" si="1"/>
        <v>1</v>
      </c>
    </row>
    <row r="311">
      <c r="A311" s="4" t="s">
        <v>9</v>
      </c>
      <c r="B311" s="4" t="s">
        <v>536</v>
      </c>
      <c r="C311" s="4" t="s">
        <v>494</v>
      </c>
      <c r="D311" s="5">
        <v>0.6041666666666666</v>
      </c>
      <c r="E311" s="5">
        <v>0.6666666666666666</v>
      </c>
      <c r="F311" s="4" t="s">
        <v>537</v>
      </c>
      <c r="G311" s="4" t="s">
        <v>220</v>
      </c>
      <c r="H311" s="6">
        <v>38.0</v>
      </c>
      <c r="I311" s="4" t="s">
        <v>377</v>
      </c>
      <c r="J311" s="7">
        <f t="shared" si="1"/>
        <v>-1</v>
      </c>
    </row>
    <row r="312">
      <c r="A312" s="4" t="s">
        <v>9</v>
      </c>
      <c r="B312" s="4" t="s">
        <v>536</v>
      </c>
      <c r="C312" s="4" t="s">
        <v>494</v>
      </c>
      <c r="D312" s="5">
        <v>0.6041666666666666</v>
      </c>
      <c r="E312" s="5">
        <v>0.6666666666666666</v>
      </c>
      <c r="F312" s="4" t="s">
        <v>538</v>
      </c>
      <c r="G312" s="4" t="s">
        <v>220</v>
      </c>
      <c r="H312" s="6">
        <v>21.0</v>
      </c>
      <c r="I312" s="4" t="s">
        <v>377</v>
      </c>
      <c r="J312" s="7">
        <f t="shared" si="1"/>
        <v>-1</v>
      </c>
    </row>
    <row r="313">
      <c r="A313" s="4" t="s">
        <v>9</v>
      </c>
      <c r="B313" s="4" t="s">
        <v>536</v>
      </c>
      <c r="C313" s="4" t="s">
        <v>494</v>
      </c>
      <c r="D313" s="5">
        <v>0.6041666666666666</v>
      </c>
      <c r="E313" s="5">
        <v>0.6666666666666666</v>
      </c>
      <c r="F313" s="4" t="s">
        <v>539</v>
      </c>
      <c r="G313" s="4" t="s">
        <v>318</v>
      </c>
      <c r="H313" s="6">
        <v>41.0</v>
      </c>
      <c r="I313" s="4" t="s">
        <v>421</v>
      </c>
      <c r="J313" s="7">
        <f t="shared" si="1"/>
        <v>-1</v>
      </c>
    </row>
    <row r="314">
      <c r="A314" s="4" t="s">
        <v>9</v>
      </c>
      <c r="B314" s="4" t="s">
        <v>536</v>
      </c>
      <c r="C314" s="4" t="s">
        <v>494</v>
      </c>
      <c r="D314" s="5">
        <v>0.6041666666666666</v>
      </c>
      <c r="E314" s="5">
        <v>0.6666666666666666</v>
      </c>
      <c r="F314" s="4" t="s">
        <v>540</v>
      </c>
      <c r="G314" s="4" t="s">
        <v>318</v>
      </c>
      <c r="H314" s="6">
        <v>36.0</v>
      </c>
      <c r="I314" s="4" t="s">
        <v>421</v>
      </c>
      <c r="J314" s="7">
        <f t="shared" si="1"/>
        <v>-1</v>
      </c>
    </row>
    <row r="315">
      <c r="A315" s="4" t="s">
        <v>9</v>
      </c>
      <c r="B315" s="4" t="s">
        <v>536</v>
      </c>
      <c r="C315" s="4" t="s">
        <v>494</v>
      </c>
      <c r="D315" s="5">
        <v>0.6041666666666666</v>
      </c>
      <c r="E315" s="5">
        <v>0.6666666666666666</v>
      </c>
      <c r="F315" s="4" t="s">
        <v>541</v>
      </c>
      <c r="G315" s="4" t="s">
        <v>318</v>
      </c>
      <c r="H315" s="6">
        <v>40.0</v>
      </c>
      <c r="I315" s="4" t="s">
        <v>421</v>
      </c>
      <c r="J315" s="7">
        <f t="shared" si="1"/>
        <v>-1</v>
      </c>
    </row>
    <row r="316">
      <c r="A316" s="4" t="s">
        <v>9</v>
      </c>
      <c r="B316" s="4" t="s">
        <v>536</v>
      </c>
      <c r="C316" s="4" t="s">
        <v>494</v>
      </c>
      <c r="D316" s="5">
        <v>0.6041666666666666</v>
      </c>
      <c r="E316" s="5">
        <v>0.6666666666666666</v>
      </c>
      <c r="F316" s="4" t="s">
        <v>542</v>
      </c>
      <c r="G316" s="4" t="s">
        <v>318</v>
      </c>
      <c r="H316" s="6">
        <v>39.0</v>
      </c>
      <c r="I316" s="4" t="s">
        <v>409</v>
      </c>
      <c r="J316" s="7">
        <f t="shared" si="1"/>
        <v>-1</v>
      </c>
    </row>
    <row r="317">
      <c r="A317" s="4" t="s">
        <v>9</v>
      </c>
      <c r="B317" s="4" t="s">
        <v>536</v>
      </c>
      <c r="C317" s="4" t="s">
        <v>494</v>
      </c>
      <c r="D317" s="5">
        <v>0.6041666666666666</v>
      </c>
      <c r="E317" s="5">
        <v>0.6666666666666666</v>
      </c>
      <c r="F317" s="4" t="s">
        <v>543</v>
      </c>
      <c r="G317" s="4" t="s">
        <v>318</v>
      </c>
      <c r="H317" s="6">
        <v>42.0</v>
      </c>
      <c r="I317" s="4" t="s">
        <v>409</v>
      </c>
      <c r="J317" s="7">
        <f t="shared" si="1"/>
        <v>-1</v>
      </c>
    </row>
    <row r="318">
      <c r="A318" s="4" t="s">
        <v>9</v>
      </c>
      <c r="B318" s="4" t="s">
        <v>536</v>
      </c>
      <c r="C318" s="4" t="s">
        <v>494</v>
      </c>
      <c r="D318" s="5">
        <v>0.6041666666666666</v>
      </c>
      <c r="E318" s="5">
        <v>0.6666666666666666</v>
      </c>
      <c r="F318" s="4" t="s">
        <v>544</v>
      </c>
      <c r="G318" s="4" t="s">
        <v>318</v>
      </c>
      <c r="H318" s="6">
        <v>41.0</v>
      </c>
      <c r="I318" s="4" t="s">
        <v>545</v>
      </c>
      <c r="J318" s="7">
        <f t="shared" si="1"/>
        <v>-1</v>
      </c>
    </row>
    <row r="319">
      <c r="A319" s="4" t="s">
        <v>9</v>
      </c>
      <c r="B319" s="4" t="s">
        <v>536</v>
      </c>
      <c r="C319" s="4" t="s">
        <v>494</v>
      </c>
      <c r="D319" s="5">
        <v>0.6041666666666666</v>
      </c>
      <c r="E319" s="5">
        <v>0.6666666666666666</v>
      </c>
      <c r="F319" s="4" t="s">
        <v>546</v>
      </c>
      <c r="G319" s="4" t="s">
        <v>318</v>
      </c>
      <c r="H319" s="6">
        <v>41.0</v>
      </c>
      <c r="I319" s="4" t="s">
        <v>545</v>
      </c>
      <c r="J319" s="7">
        <f t="shared" si="1"/>
        <v>-1</v>
      </c>
    </row>
    <row r="320">
      <c r="A320" s="4" t="s">
        <v>9</v>
      </c>
      <c r="B320" s="4" t="s">
        <v>536</v>
      </c>
      <c r="C320" s="4" t="s">
        <v>494</v>
      </c>
      <c r="D320" s="5">
        <v>0.6041666666666666</v>
      </c>
      <c r="E320" s="5">
        <v>0.6666666666666666</v>
      </c>
      <c r="F320" s="4" t="s">
        <v>547</v>
      </c>
      <c r="G320" s="4" t="s">
        <v>548</v>
      </c>
      <c r="H320" s="6">
        <v>2.0</v>
      </c>
      <c r="I320" s="4" t="s">
        <v>549</v>
      </c>
      <c r="J320" s="7">
        <f t="shared" si="1"/>
        <v>-1</v>
      </c>
    </row>
    <row r="321">
      <c r="A321" s="4" t="s">
        <v>9</v>
      </c>
      <c r="B321" s="4" t="s">
        <v>536</v>
      </c>
      <c r="C321" s="4" t="s">
        <v>494</v>
      </c>
      <c r="D321" s="5">
        <v>0.6041666666666666</v>
      </c>
      <c r="E321" s="5">
        <v>0.6666666666666666</v>
      </c>
      <c r="F321" s="4" t="s">
        <v>550</v>
      </c>
      <c r="G321" s="4" t="s">
        <v>551</v>
      </c>
      <c r="H321" s="6">
        <v>40.0</v>
      </c>
      <c r="I321" s="4" t="s">
        <v>549</v>
      </c>
      <c r="J321" s="7">
        <f t="shared" si="1"/>
        <v>-1</v>
      </c>
    </row>
    <row r="322">
      <c r="A322" s="4" t="s">
        <v>9</v>
      </c>
      <c r="B322" s="4" t="s">
        <v>536</v>
      </c>
      <c r="C322" s="4" t="s">
        <v>494</v>
      </c>
      <c r="D322" s="5">
        <v>0.6041666666666666</v>
      </c>
      <c r="E322" s="5">
        <v>0.6666666666666666</v>
      </c>
      <c r="F322" s="4" t="s">
        <v>552</v>
      </c>
      <c r="G322" s="4" t="s">
        <v>339</v>
      </c>
      <c r="H322" s="6">
        <v>39.0</v>
      </c>
      <c r="I322" s="4" t="s">
        <v>553</v>
      </c>
      <c r="J322" s="7">
        <f t="shared" si="1"/>
        <v>-1</v>
      </c>
    </row>
    <row r="323">
      <c r="A323" s="4" t="s">
        <v>9</v>
      </c>
      <c r="B323" s="4" t="s">
        <v>536</v>
      </c>
      <c r="C323" s="4" t="s">
        <v>494</v>
      </c>
      <c r="D323" s="5">
        <v>0.6041666666666666</v>
      </c>
      <c r="E323" s="5">
        <v>0.6666666666666666</v>
      </c>
      <c r="F323" s="4" t="s">
        <v>554</v>
      </c>
      <c r="G323" s="4" t="s">
        <v>339</v>
      </c>
      <c r="H323" s="6">
        <v>39.0</v>
      </c>
      <c r="I323" s="4" t="s">
        <v>553</v>
      </c>
      <c r="J323" s="7">
        <f t="shared" si="1"/>
        <v>-1</v>
      </c>
    </row>
    <row r="324">
      <c r="A324" s="4" t="s">
        <v>9</v>
      </c>
      <c r="B324" s="4" t="s">
        <v>536</v>
      </c>
      <c r="C324" s="4" t="s">
        <v>494</v>
      </c>
      <c r="D324" s="5">
        <v>0.6041666666666666</v>
      </c>
      <c r="E324" s="5">
        <v>0.6666666666666666</v>
      </c>
      <c r="F324" s="4" t="s">
        <v>555</v>
      </c>
      <c r="G324" s="4" t="s">
        <v>88</v>
      </c>
      <c r="H324" s="6">
        <v>40.0</v>
      </c>
      <c r="I324" s="4" t="s">
        <v>556</v>
      </c>
      <c r="J324" s="7">
        <f t="shared" si="1"/>
        <v>-1</v>
      </c>
    </row>
    <row r="325">
      <c r="A325" s="4" t="s">
        <v>9</v>
      </c>
      <c r="B325" s="4" t="s">
        <v>536</v>
      </c>
      <c r="C325" s="4" t="s">
        <v>494</v>
      </c>
      <c r="D325" s="5">
        <v>0.6041666666666666</v>
      </c>
      <c r="E325" s="5">
        <v>0.6666666666666666</v>
      </c>
      <c r="F325" s="4" t="s">
        <v>557</v>
      </c>
      <c r="G325" s="4" t="s">
        <v>88</v>
      </c>
      <c r="H325" s="6">
        <v>40.0</v>
      </c>
      <c r="I325" s="4" t="s">
        <v>556</v>
      </c>
      <c r="J325" s="7">
        <f t="shared" si="1"/>
        <v>-1</v>
      </c>
    </row>
    <row r="326">
      <c r="A326" s="4" t="s">
        <v>9</v>
      </c>
      <c r="B326" s="4" t="s">
        <v>536</v>
      </c>
      <c r="C326" s="4" t="s">
        <v>494</v>
      </c>
      <c r="D326" s="5">
        <v>0.6041666666666666</v>
      </c>
      <c r="E326" s="5">
        <v>0.6666666666666666</v>
      </c>
      <c r="F326" s="4" t="s">
        <v>558</v>
      </c>
      <c r="G326" s="4" t="s">
        <v>88</v>
      </c>
      <c r="H326" s="6">
        <v>40.0</v>
      </c>
      <c r="I326" s="4" t="s">
        <v>556</v>
      </c>
      <c r="J326" s="7">
        <f t="shared" si="1"/>
        <v>-1</v>
      </c>
    </row>
    <row r="327">
      <c r="A327" s="4" t="s">
        <v>9</v>
      </c>
      <c r="B327" s="4" t="s">
        <v>559</v>
      </c>
      <c r="C327" s="4" t="s">
        <v>560</v>
      </c>
      <c r="D327" s="5">
        <v>0.3541666666666667</v>
      </c>
      <c r="E327" s="5">
        <v>0.4166666666666667</v>
      </c>
      <c r="F327" s="4" t="s">
        <v>561</v>
      </c>
      <c r="G327" s="4" t="s">
        <v>275</v>
      </c>
      <c r="H327" s="6">
        <v>42.0</v>
      </c>
      <c r="I327" s="4" t="s">
        <v>545</v>
      </c>
      <c r="J327" s="7">
        <f t="shared" si="1"/>
        <v>1</v>
      </c>
    </row>
    <row r="328">
      <c r="A328" s="4" t="s">
        <v>9</v>
      </c>
      <c r="B328" s="4" t="s">
        <v>559</v>
      </c>
      <c r="C328" s="4" t="s">
        <v>560</v>
      </c>
      <c r="D328" s="5">
        <v>0.3541666666666667</v>
      </c>
      <c r="E328" s="5">
        <v>0.4166666666666667</v>
      </c>
      <c r="F328" s="4" t="s">
        <v>562</v>
      </c>
      <c r="G328" s="4" t="s">
        <v>275</v>
      </c>
      <c r="H328" s="6">
        <v>43.0</v>
      </c>
      <c r="I328" s="4" t="s">
        <v>545</v>
      </c>
      <c r="J328" s="7">
        <f t="shared" si="1"/>
        <v>1</v>
      </c>
    </row>
    <row r="329">
      <c r="A329" s="4" t="s">
        <v>9</v>
      </c>
      <c r="B329" s="4" t="s">
        <v>559</v>
      </c>
      <c r="C329" s="4" t="s">
        <v>560</v>
      </c>
      <c r="D329" s="5">
        <v>0.3541666666666667</v>
      </c>
      <c r="E329" s="5">
        <v>0.4166666666666667</v>
      </c>
      <c r="F329" s="4" t="s">
        <v>563</v>
      </c>
      <c r="G329" s="4" t="s">
        <v>196</v>
      </c>
      <c r="H329" s="6">
        <v>38.0</v>
      </c>
      <c r="I329" s="4" t="s">
        <v>564</v>
      </c>
      <c r="J329" s="7">
        <f t="shared" si="1"/>
        <v>1</v>
      </c>
    </row>
    <row r="330">
      <c r="A330" s="4" t="s">
        <v>9</v>
      </c>
      <c r="B330" s="4" t="s">
        <v>559</v>
      </c>
      <c r="C330" s="4" t="s">
        <v>560</v>
      </c>
      <c r="D330" s="5">
        <v>0.3541666666666667</v>
      </c>
      <c r="E330" s="5">
        <v>0.4166666666666667</v>
      </c>
      <c r="F330" s="4" t="s">
        <v>565</v>
      </c>
      <c r="G330" s="4" t="s">
        <v>45</v>
      </c>
      <c r="H330" s="6">
        <v>40.0</v>
      </c>
      <c r="I330" s="4" t="s">
        <v>516</v>
      </c>
      <c r="J330" s="7">
        <f t="shared" si="1"/>
        <v>1</v>
      </c>
    </row>
    <row r="331">
      <c r="A331" s="4" t="s">
        <v>9</v>
      </c>
      <c r="B331" s="4" t="s">
        <v>559</v>
      </c>
      <c r="C331" s="4" t="s">
        <v>560</v>
      </c>
      <c r="D331" s="5">
        <v>0.3541666666666667</v>
      </c>
      <c r="E331" s="5">
        <v>0.4166666666666667</v>
      </c>
      <c r="F331" s="4" t="s">
        <v>566</v>
      </c>
      <c r="G331" s="4" t="s">
        <v>45</v>
      </c>
      <c r="H331" s="6">
        <v>39.0</v>
      </c>
      <c r="I331" s="4" t="s">
        <v>516</v>
      </c>
      <c r="J331" s="7">
        <f t="shared" si="1"/>
        <v>1</v>
      </c>
    </row>
    <row r="332">
      <c r="A332" s="4" t="s">
        <v>9</v>
      </c>
      <c r="B332" s="4" t="s">
        <v>559</v>
      </c>
      <c r="C332" s="4" t="s">
        <v>560</v>
      </c>
      <c r="D332" s="5">
        <v>0.3541666666666667</v>
      </c>
      <c r="E332" s="5">
        <v>0.4166666666666667</v>
      </c>
      <c r="F332" s="4" t="s">
        <v>567</v>
      </c>
      <c r="G332" s="4" t="s">
        <v>45</v>
      </c>
      <c r="H332" s="6">
        <v>39.0</v>
      </c>
      <c r="I332" s="4" t="s">
        <v>340</v>
      </c>
      <c r="J332" s="7">
        <f t="shared" si="1"/>
        <v>1</v>
      </c>
    </row>
    <row r="333">
      <c r="A333" s="4" t="s">
        <v>9</v>
      </c>
      <c r="B333" s="4" t="s">
        <v>559</v>
      </c>
      <c r="C333" s="4" t="s">
        <v>560</v>
      </c>
      <c r="D333" s="5">
        <v>0.3541666666666667</v>
      </c>
      <c r="E333" s="5">
        <v>0.4166666666666667</v>
      </c>
      <c r="F333" s="4" t="s">
        <v>568</v>
      </c>
      <c r="G333" s="4" t="s">
        <v>251</v>
      </c>
      <c r="H333" s="6">
        <v>30.0</v>
      </c>
      <c r="I333" s="4" t="s">
        <v>564</v>
      </c>
      <c r="J333" s="7">
        <f t="shared" si="1"/>
        <v>1</v>
      </c>
    </row>
    <row r="334">
      <c r="A334" s="4" t="s">
        <v>9</v>
      </c>
      <c r="B334" s="4" t="s">
        <v>559</v>
      </c>
      <c r="C334" s="4" t="s">
        <v>560</v>
      </c>
      <c r="D334" s="5">
        <v>0.3541666666666667</v>
      </c>
      <c r="E334" s="5">
        <v>0.4166666666666667</v>
      </c>
      <c r="F334" s="4" t="s">
        <v>569</v>
      </c>
      <c r="G334" s="4" t="s">
        <v>251</v>
      </c>
      <c r="H334" s="6">
        <v>36.0</v>
      </c>
      <c r="I334" s="4" t="s">
        <v>284</v>
      </c>
      <c r="J334" s="7">
        <f t="shared" si="1"/>
        <v>1</v>
      </c>
    </row>
    <row r="335">
      <c r="A335" s="4" t="s">
        <v>9</v>
      </c>
      <c r="B335" s="4" t="s">
        <v>559</v>
      </c>
      <c r="C335" s="4" t="s">
        <v>560</v>
      </c>
      <c r="D335" s="5">
        <v>0.3541666666666667</v>
      </c>
      <c r="E335" s="5">
        <v>0.4166666666666667</v>
      </c>
      <c r="F335" s="4" t="s">
        <v>570</v>
      </c>
      <c r="G335" s="4" t="s">
        <v>251</v>
      </c>
      <c r="H335" s="6">
        <v>36.0</v>
      </c>
      <c r="I335" s="4" t="s">
        <v>284</v>
      </c>
      <c r="J335" s="7">
        <f t="shared" si="1"/>
        <v>1</v>
      </c>
    </row>
    <row r="336">
      <c r="A336" s="4" t="s">
        <v>9</v>
      </c>
      <c r="B336" s="4" t="s">
        <v>559</v>
      </c>
      <c r="C336" s="4" t="s">
        <v>560</v>
      </c>
      <c r="D336" s="5">
        <v>0.3541666666666667</v>
      </c>
      <c r="E336" s="5">
        <v>0.4166666666666667</v>
      </c>
      <c r="F336" s="4" t="s">
        <v>571</v>
      </c>
      <c r="G336" s="4" t="s">
        <v>359</v>
      </c>
      <c r="H336" s="6">
        <v>36.0</v>
      </c>
      <c r="I336" s="4" t="s">
        <v>572</v>
      </c>
      <c r="J336" s="7">
        <f t="shared" si="1"/>
        <v>1</v>
      </c>
    </row>
    <row r="337">
      <c r="A337" s="4" t="s">
        <v>9</v>
      </c>
      <c r="B337" s="4" t="s">
        <v>559</v>
      </c>
      <c r="C337" s="4" t="s">
        <v>560</v>
      </c>
      <c r="D337" s="5">
        <v>0.3541666666666667</v>
      </c>
      <c r="E337" s="5">
        <v>0.4166666666666667</v>
      </c>
      <c r="F337" s="4" t="s">
        <v>573</v>
      </c>
      <c r="G337" s="4" t="s">
        <v>359</v>
      </c>
      <c r="H337" s="6">
        <v>36.0</v>
      </c>
      <c r="I337" s="4" t="s">
        <v>572</v>
      </c>
      <c r="J337" s="7">
        <f t="shared" si="1"/>
        <v>1</v>
      </c>
    </row>
    <row r="338">
      <c r="A338" s="4" t="s">
        <v>9</v>
      </c>
      <c r="B338" s="4" t="s">
        <v>559</v>
      </c>
      <c r="C338" s="4" t="s">
        <v>560</v>
      </c>
      <c r="D338" s="5">
        <v>0.3541666666666667</v>
      </c>
      <c r="E338" s="5">
        <v>0.4166666666666667</v>
      </c>
      <c r="F338" s="4" t="s">
        <v>574</v>
      </c>
      <c r="G338" s="4" t="s">
        <v>359</v>
      </c>
      <c r="H338" s="6">
        <v>35.0</v>
      </c>
      <c r="I338" s="4" t="s">
        <v>575</v>
      </c>
      <c r="J338" s="7">
        <f t="shared" si="1"/>
        <v>1</v>
      </c>
    </row>
    <row r="339">
      <c r="A339" s="4" t="s">
        <v>9</v>
      </c>
      <c r="B339" s="4" t="s">
        <v>559</v>
      </c>
      <c r="C339" s="4" t="s">
        <v>560</v>
      </c>
      <c r="D339" s="5">
        <v>0.3541666666666667</v>
      </c>
      <c r="E339" s="5">
        <v>0.4166666666666667</v>
      </c>
      <c r="F339" s="4" t="s">
        <v>576</v>
      </c>
      <c r="G339" s="4" t="s">
        <v>359</v>
      </c>
      <c r="H339" s="6">
        <v>37.0</v>
      </c>
      <c r="I339" s="4" t="s">
        <v>575</v>
      </c>
      <c r="J339" s="7">
        <f t="shared" si="1"/>
        <v>1</v>
      </c>
    </row>
    <row r="340">
      <c r="A340" s="4" t="s">
        <v>9</v>
      </c>
      <c r="B340" s="4" t="s">
        <v>559</v>
      </c>
      <c r="C340" s="4" t="s">
        <v>560</v>
      </c>
      <c r="D340" s="5">
        <v>0.3541666666666667</v>
      </c>
      <c r="E340" s="5">
        <v>0.4166666666666667</v>
      </c>
      <c r="F340" s="4" t="s">
        <v>577</v>
      </c>
      <c r="G340" s="4" t="s">
        <v>339</v>
      </c>
      <c r="H340" s="6">
        <v>26.0</v>
      </c>
      <c r="I340" s="4" t="s">
        <v>61</v>
      </c>
      <c r="J340" s="7">
        <f t="shared" si="1"/>
        <v>1</v>
      </c>
    </row>
    <row r="341">
      <c r="A341" s="4" t="s">
        <v>9</v>
      </c>
      <c r="B341" s="4" t="s">
        <v>559</v>
      </c>
      <c r="C341" s="4" t="s">
        <v>560</v>
      </c>
      <c r="D341" s="5">
        <v>0.3541666666666667</v>
      </c>
      <c r="E341" s="5">
        <v>0.4166666666666667</v>
      </c>
      <c r="F341" s="4" t="s">
        <v>578</v>
      </c>
      <c r="G341" s="4" t="s">
        <v>371</v>
      </c>
      <c r="H341" s="6">
        <v>41.0</v>
      </c>
      <c r="I341" s="4" t="s">
        <v>579</v>
      </c>
      <c r="J341" s="7">
        <f t="shared" si="1"/>
        <v>1</v>
      </c>
    </row>
    <row r="342">
      <c r="A342" s="4" t="s">
        <v>9</v>
      </c>
      <c r="B342" s="4" t="s">
        <v>559</v>
      </c>
      <c r="C342" s="4" t="s">
        <v>560</v>
      </c>
      <c r="D342" s="5">
        <v>0.3541666666666667</v>
      </c>
      <c r="E342" s="5">
        <v>0.4166666666666667</v>
      </c>
      <c r="F342" s="4" t="s">
        <v>580</v>
      </c>
      <c r="G342" s="4" t="s">
        <v>371</v>
      </c>
      <c r="H342" s="6">
        <v>41.0</v>
      </c>
      <c r="I342" s="4" t="s">
        <v>579</v>
      </c>
      <c r="J342" s="7">
        <f t="shared" si="1"/>
        <v>1</v>
      </c>
    </row>
    <row r="343">
      <c r="A343" s="4" t="s">
        <v>9</v>
      </c>
      <c r="B343" s="4" t="s">
        <v>559</v>
      </c>
      <c r="C343" s="4" t="s">
        <v>560</v>
      </c>
      <c r="D343" s="5">
        <v>0.3541666666666667</v>
      </c>
      <c r="E343" s="5">
        <v>0.4166666666666667</v>
      </c>
      <c r="F343" s="4" t="s">
        <v>581</v>
      </c>
      <c r="G343" s="4" t="s">
        <v>371</v>
      </c>
      <c r="H343" s="6">
        <v>41.0</v>
      </c>
      <c r="I343" s="4" t="s">
        <v>579</v>
      </c>
      <c r="J343" s="7">
        <f t="shared" si="1"/>
        <v>1</v>
      </c>
    </row>
    <row r="344">
      <c r="A344" s="4" t="s">
        <v>9</v>
      </c>
      <c r="B344" s="4" t="s">
        <v>582</v>
      </c>
      <c r="C344" s="4" t="s">
        <v>560</v>
      </c>
      <c r="D344" s="5">
        <v>0.4791666666666667</v>
      </c>
      <c r="E344" s="5">
        <v>0.5416666666666666</v>
      </c>
      <c r="F344" s="4" t="s">
        <v>583</v>
      </c>
      <c r="G344" s="4" t="s">
        <v>275</v>
      </c>
      <c r="H344" s="6">
        <v>42.0</v>
      </c>
      <c r="I344" s="4" t="s">
        <v>221</v>
      </c>
      <c r="J344" s="7">
        <f t="shared" si="1"/>
        <v>-1</v>
      </c>
    </row>
    <row r="345">
      <c r="A345" s="4" t="s">
        <v>9</v>
      </c>
      <c r="B345" s="4" t="s">
        <v>582</v>
      </c>
      <c r="C345" s="4" t="s">
        <v>560</v>
      </c>
      <c r="D345" s="5">
        <v>0.4791666666666667</v>
      </c>
      <c r="E345" s="5">
        <v>0.5416666666666666</v>
      </c>
      <c r="F345" s="4" t="s">
        <v>584</v>
      </c>
      <c r="G345" s="4" t="s">
        <v>275</v>
      </c>
      <c r="H345" s="6">
        <v>43.0</v>
      </c>
      <c r="I345" s="4" t="s">
        <v>221</v>
      </c>
      <c r="J345" s="7">
        <f t="shared" si="1"/>
        <v>-1</v>
      </c>
    </row>
    <row r="346">
      <c r="A346" s="4" t="s">
        <v>9</v>
      </c>
      <c r="B346" s="4" t="s">
        <v>582</v>
      </c>
      <c r="C346" s="4" t="s">
        <v>560</v>
      </c>
      <c r="D346" s="5">
        <v>0.4791666666666667</v>
      </c>
      <c r="E346" s="5">
        <v>0.5416666666666666</v>
      </c>
      <c r="F346" s="4" t="s">
        <v>585</v>
      </c>
      <c r="G346" s="4" t="s">
        <v>196</v>
      </c>
      <c r="H346" s="6">
        <v>39.0</v>
      </c>
      <c r="I346" s="4" t="s">
        <v>147</v>
      </c>
      <c r="J346" s="7">
        <f t="shared" si="1"/>
        <v>-1</v>
      </c>
    </row>
    <row r="347">
      <c r="A347" s="4" t="s">
        <v>9</v>
      </c>
      <c r="B347" s="4" t="s">
        <v>582</v>
      </c>
      <c r="C347" s="4" t="s">
        <v>560</v>
      </c>
      <c r="D347" s="5">
        <v>0.4791666666666667</v>
      </c>
      <c r="E347" s="5">
        <v>0.5416666666666666</v>
      </c>
      <c r="F347" s="4" t="s">
        <v>586</v>
      </c>
      <c r="G347" s="4" t="s">
        <v>196</v>
      </c>
      <c r="H347" s="6">
        <v>38.0</v>
      </c>
      <c r="I347" s="4" t="s">
        <v>147</v>
      </c>
      <c r="J347" s="7">
        <f t="shared" si="1"/>
        <v>-1</v>
      </c>
    </row>
    <row r="348">
      <c r="A348" s="4" t="s">
        <v>9</v>
      </c>
      <c r="B348" s="4" t="s">
        <v>582</v>
      </c>
      <c r="C348" s="4" t="s">
        <v>560</v>
      </c>
      <c r="D348" s="5">
        <v>0.4791666666666667</v>
      </c>
      <c r="E348" s="5">
        <v>0.5416666666666666</v>
      </c>
      <c r="F348" s="4" t="s">
        <v>587</v>
      </c>
      <c r="G348" s="4" t="s">
        <v>196</v>
      </c>
      <c r="H348" s="6">
        <v>35.0</v>
      </c>
      <c r="I348" s="4" t="s">
        <v>147</v>
      </c>
      <c r="J348" s="7">
        <f t="shared" si="1"/>
        <v>-1</v>
      </c>
    </row>
    <row r="349">
      <c r="A349" s="4" t="s">
        <v>9</v>
      </c>
      <c r="B349" s="4" t="s">
        <v>582</v>
      </c>
      <c r="C349" s="4" t="s">
        <v>560</v>
      </c>
      <c r="D349" s="5">
        <v>0.4791666666666667</v>
      </c>
      <c r="E349" s="5">
        <v>0.5416666666666666</v>
      </c>
      <c r="F349" s="4" t="s">
        <v>588</v>
      </c>
      <c r="G349" s="4" t="s">
        <v>196</v>
      </c>
      <c r="H349" s="6">
        <v>32.0</v>
      </c>
      <c r="I349" s="4" t="s">
        <v>227</v>
      </c>
      <c r="J349" s="7">
        <f t="shared" si="1"/>
        <v>-1</v>
      </c>
    </row>
    <row r="350">
      <c r="A350" s="4" t="s">
        <v>9</v>
      </c>
      <c r="B350" s="4" t="s">
        <v>582</v>
      </c>
      <c r="C350" s="4" t="s">
        <v>560</v>
      </c>
      <c r="D350" s="5">
        <v>0.4791666666666667</v>
      </c>
      <c r="E350" s="5">
        <v>0.5416666666666666</v>
      </c>
      <c r="F350" s="4" t="s">
        <v>589</v>
      </c>
      <c r="G350" s="4" t="s">
        <v>42</v>
      </c>
      <c r="H350" s="6">
        <v>43.0</v>
      </c>
      <c r="I350" s="4" t="s">
        <v>197</v>
      </c>
      <c r="J350" s="7">
        <f t="shared" si="1"/>
        <v>-1</v>
      </c>
    </row>
    <row r="351">
      <c r="A351" s="4" t="s">
        <v>9</v>
      </c>
      <c r="B351" s="4" t="s">
        <v>582</v>
      </c>
      <c r="C351" s="4" t="s">
        <v>560</v>
      </c>
      <c r="D351" s="5">
        <v>0.4791666666666667</v>
      </c>
      <c r="E351" s="5">
        <v>0.5416666666666666</v>
      </c>
      <c r="F351" s="4" t="s">
        <v>590</v>
      </c>
      <c r="G351" s="4" t="s">
        <v>42</v>
      </c>
      <c r="H351" s="6">
        <v>42.0</v>
      </c>
      <c r="I351" s="4" t="s">
        <v>197</v>
      </c>
      <c r="J351" s="7">
        <f t="shared" si="1"/>
        <v>-1</v>
      </c>
    </row>
    <row r="352">
      <c r="A352" s="4" t="s">
        <v>9</v>
      </c>
      <c r="B352" s="4" t="s">
        <v>582</v>
      </c>
      <c r="C352" s="4" t="s">
        <v>560</v>
      </c>
      <c r="D352" s="5">
        <v>0.4791666666666667</v>
      </c>
      <c r="E352" s="5">
        <v>0.5416666666666666</v>
      </c>
      <c r="F352" s="4" t="s">
        <v>591</v>
      </c>
      <c r="G352" s="4" t="s">
        <v>251</v>
      </c>
      <c r="H352" s="6">
        <v>35.0</v>
      </c>
      <c r="I352" s="4" t="s">
        <v>316</v>
      </c>
      <c r="J352" s="7">
        <f t="shared" si="1"/>
        <v>-1</v>
      </c>
    </row>
    <row r="353">
      <c r="A353" s="4" t="s">
        <v>9</v>
      </c>
      <c r="B353" s="4" t="s">
        <v>582</v>
      </c>
      <c r="C353" s="4" t="s">
        <v>560</v>
      </c>
      <c r="D353" s="5">
        <v>0.4791666666666667</v>
      </c>
      <c r="E353" s="5">
        <v>0.5416666666666666</v>
      </c>
      <c r="F353" s="4" t="s">
        <v>592</v>
      </c>
      <c r="G353" s="4" t="s">
        <v>236</v>
      </c>
      <c r="H353" s="6">
        <v>39.0</v>
      </c>
      <c r="I353" s="4" t="s">
        <v>593</v>
      </c>
      <c r="J353" s="7">
        <f t="shared" si="1"/>
        <v>-1</v>
      </c>
    </row>
    <row r="354">
      <c r="A354" s="4" t="s">
        <v>9</v>
      </c>
      <c r="B354" s="4" t="s">
        <v>582</v>
      </c>
      <c r="C354" s="4" t="s">
        <v>560</v>
      </c>
      <c r="D354" s="5">
        <v>0.4791666666666667</v>
      </c>
      <c r="E354" s="5">
        <v>0.5416666666666666</v>
      </c>
      <c r="F354" s="4" t="s">
        <v>594</v>
      </c>
      <c r="G354" s="4" t="s">
        <v>236</v>
      </c>
      <c r="H354" s="6">
        <v>39.0</v>
      </c>
      <c r="I354" s="4" t="s">
        <v>593</v>
      </c>
      <c r="J354" s="7">
        <f t="shared" si="1"/>
        <v>-1</v>
      </c>
    </row>
    <row r="355">
      <c r="A355" s="4" t="s">
        <v>9</v>
      </c>
      <c r="B355" s="4" t="s">
        <v>582</v>
      </c>
      <c r="C355" s="4" t="s">
        <v>560</v>
      </c>
      <c r="D355" s="5">
        <v>0.4791666666666667</v>
      </c>
      <c r="E355" s="5">
        <v>0.5416666666666666</v>
      </c>
      <c r="F355" s="4" t="s">
        <v>595</v>
      </c>
      <c r="G355" s="4" t="s">
        <v>236</v>
      </c>
      <c r="H355" s="6">
        <v>36.0</v>
      </c>
      <c r="I355" s="4" t="s">
        <v>596</v>
      </c>
      <c r="J355" s="7">
        <f t="shared" si="1"/>
        <v>-1</v>
      </c>
    </row>
    <row r="356">
      <c r="A356" s="4" t="s">
        <v>9</v>
      </c>
      <c r="B356" s="4" t="s">
        <v>582</v>
      </c>
      <c r="C356" s="4" t="s">
        <v>560</v>
      </c>
      <c r="D356" s="5">
        <v>0.4791666666666667</v>
      </c>
      <c r="E356" s="5">
        <v>0.5416666666666666</v>
      </c>
      <c r="F356" s="4" t="s">
        <v>597</v>
      </c>
      <c r="G356" s="4" t="s">
        <v>236</v>
      </c>
      <c r="H356" s="6">
        <v>37.0</v>
      </c>
      <c r="I356" s="4" t="s">
        <v>596</v>
      </c>
      <c r="J356" s="7">
        <f t="shared" si="1"/>
        <v>-1</v>
      </c>
    </row>
    <row r="357">
      <c r="A357" s="4" t="s">
        <v>9</v>
      </c>
      <c r="B357" s="4" t="s">
        <v>582</v>
      </c>
      <c r="C357" s="4" t="s">
        <v>560</v>
      </c>
      <c r="D357" s="5">
        <v>0.4791666666666667</v>
      </c>
      <c r="E357" s="5">
        <v>0.5416666666666666</v>
      </c>
      <c r="F357" s="4" t="s">
        <v>598</v>
      </c>
      <c r="G357" s="4" t="s">
        <v>371</v>
      </c>
      <c r="H357" s="6">
        <v>29.0</v>
      </c>
      <c r="I357" s="4" t="s">
        <v>564</v>
      </c>
      <c r="J357" s="7">
        <f t="shared" si="1"/>
        <v>-1</v>
      </c>
    </row>
    <row r="358">
      <c r="A358" s="4" t="s">
        <v>9</v>
      </c>
      <c r="B358" s="4" t="s">
        <v>582</v>
      </c>
      <c r="C358" s="4" t="s">
        <v>560</v>
      </c>
      <c r="D358" s="5">
        <v>0.4791666666666667</v>
      </c>
      <c r="E358" s="5">
        <v>0.5416666666666666</v>
      </c>
      <c r="F358" s="4" t="s">
        <v>599</v>
      </c>
      <c r="G358" s="4" t="s">
        <v>371</v>
      </c>
      <c r="H358" s="6">
        <v>40.0</v>
      </c>
      <c r="I358" s="4" t="s">
        <v>366</v>
      </c>
      <c r="J358" s="7">
        <f t="shared" si="1"/>
        <v>-1</v>
      </c>
    </row>
    <row r="359">
      <c r="A359" s="4" t="s">
        <v>9</v>
      </c>
      <c r="B359" s="4" t="s">
        <v>582</v>
      </c>
      <c r="C359" s="4" t="s">
        <v>560</v>
      </c>
      <c r="D359" s="5">
        <v>0.4791666666666667</v>
      </c>
      <c r="E359" s="5">
        <v>0.5416666666666666</v>
      </c>
      <c r="F359" s="4" t="s">
        <v>600</v>
      </c>
      <c r="G359" s="4" t="s">
        <v>371</v>
      </c>
      <c r="H359" s="6">
        <v>40.0</v>
      </c>
      <c r="I359" s="4" t="s">
        <v>601</v>
      </c>
      <c r="J359" s="7">
        <f t="shared" si="1"/>
        <v>-1</v>
      </c>
    </row>
    <row r="360">
      <c r="A360" s="4" t="s">
        <v>9</v>
      </c>
      <c r="B360" s="4" t="s">
        <v>582</v>
      </c>
      <c r="C360" s="4" t="s">
        <v>560</v>
      </c>
      <c r="D360" s="5">
        <v>0.4791666666666667</v>
      </c>
      <c r="E360" s="5">
        <v>0.5416666666666666</v>
      </c>
      <c r="F360" s="4" t="s">
        <v>602</v>
      </c>
      <c r="G360" s="4" t="s">
        <v>371</v>
      </c>
      <c r="H360" s="6">
        <v>40.0</v>
      </c>
      <c r="I360" s="4" t="s">
        <v>601</v>
      </c>
      <c r="J360" s="7">
        <f t="shared" si="1"/>
        <v>-1</v>
      </c>
    </row>
    <row r="361">
      <c r="A361" s="4" t="s">
        <v>9</v>
      </c>
      <c r="B361" s="4" t="s">
        <v>603</v>
      </c>
      <c r="C361" s="4" t="s">
        <v>560</v>
      </c>
      <c r="D361" s="5">
        <v>0.6041666666666666</v>
      </c>
      <c r="E361" s="5">
        <v>0.6666666666666666</v>
      </c>
      <c r="F361" s="4" t="s">
        <v>604</v>
      </c>
      <c r="G361" s="4" t="s">
        <v>275</v>
      </c>
      <c r="H361" s="6">
        <v>43.0</v>
      </c>
      <c r="I361" s="4" t="s">
        <v>605</v>
      </c>
      <c r="J361" s="7">
        <f t="shared" si="1"/>
        <v>1</v>
      </c>
    </row>
    <row r="362">
      <c r="A362" s="4" t="s">
        <v>9</v>
      </c>
      <c r="B362" s="4" t="s">
        <v>603</v>
      </c>
      <c r="C362" s="4" t="s">
        <v>560</v>
      </c>
      <c r="D362" s="5">
        <v>0.6041666666666666</v>
      </c>
      <c r="E362" s="5">
        <v>0.6666666666666666</v>
      </c>
      <c r="F362" s="4" t="s">
        <v>606</v>
      </c>
      <c r="G362" s="4" t="s">
        <v>275</v>
      </c>
      <c r="H362" s="6">
        <v>43.0</v>
      </c>
      <c r="I362" s="4" t="s">
        <v>605</v>
      </c>
      <c r="J362" s="7">
        <f t="shared" si="1"/>
        <v>1</v>
      </c>
    </row>
    <row r="363">
      <c r="A363" s="4" t="s">
        <v>9</v>
      </c>
      <c r="B363" s="4" t="s">
        <v>603</v>
      </c>
      <c r="C363" s="4" t="s">
        <v>560</v>
      </c>
      <c r="D363" s="5">
        <v>0.6041666666666666</v>
      </c>
      <c r="E363" s="5">
        <v>0.6666666666666666</v>
      </c>
      <c r="F363" s="4" t="s">
        <v>607</v>
      </c>
      <c r="G363" s="4" t="s">
        <v>275</v>
      </c>
      <c r="H363" s="6">
        <v>43.0</v>
      </c>
      <c r="I363" s="4" t="s">
        <v>608</v>
      </c>
      <c r="J363" s="7">
        <f t="shared" si="1"/>
        <v>1</v>
      </c>
    </row>
    <row r="364">
      <c r="A364" s="4" t="s">
        <v>9</v>
      </c>
      <c r="B364" s="4" t="s">
        <v>603</v>
      </c>
      <c r="C364" s="4" t="s">
        <v>560</v>
      </c>
      <c r="D364" s="5">
        <v>0.6041666666666666</v>
      </c>
      <c r="E364" s="5">
        <v>0.6666666666666666</v>
      </c>
      <c r="F364" s="4" t="s">
        <v>609</v>
      </c>
      <c r="G364" s="4" t="s">
        <v>196</v>
      </c>
      <c r="H364" s="6">
        <v>39.0</v>
      </c>
      <c r="I364" s="4" t="s">
        <v>519</v>
      </c>
      <c r="J364" s="7">
        <f t="shared" si="1"/>
        <v>1</v>
      </c>
    </row>
    <row r="365">
      <c r="A365" s="4" t="s">
        <v>9</v>
      </c>
      <c r="B365" s="4" t="s">
        <v>603</v>
      </c>
      <c r="C365" s="4" t="s">
        <v>560</v>
      </c>
      <c r="D365" s="5">
        <v>0.6041666666666666</v>
      </c>
      <c r="E365" s="5">
        <v>0.6666666666666666</v>
      </c>
      <c r="F365" s="4" t="s">
        <v>610</v>
      </c>
      <c r="G365" s="4" t="s">
        <v>196</v>
      </c>
      <c r="H365" s="6">
        <v>39.0</v>
      </c>
      <c r="I365" s="4" t="s">
        <v>519</v>
      </c>
      <c r="J365" s="7">
        <f t="shared" si="1"/>
        <v>1</v>
      </c>
    </row>
    <row r="366">
      <c r="A366" s="4" t="s">
        <v>9</v>
      </c>
      <c r="B366" s="4" t="s">
        <v>603</v>
      </c>
      <c r="C366" s="4" t="s">
        <v>560</v>
      </c>
      <c r="D366" s="5">
        <v>0.6041666666666666</v>
      </c>
      <c r="E366" s="5">
        <v>0.6666666666666666</v>
      </c>
      <c r="F366" s="4" t="s">
        <v>611</v>
      </c>
      <c r="G366" s="4" t="s">
        <v>196</v>
      </c>
      <c r="H366" s="6">
        <v>39.0</v>
      </c>
      <c r="I366" s="4" t="s">
        <v>166</v>
      </c>
      <c r="J366" s="7">
        <f t="shared" si="1"/>
        <v>1</v>
      </c>
    </row>
    <row r="367">
      <c r="A367" s="4" t="s">
        <v>9</v>
      </c>
      <c r="B367" s="4" t="s">
        <v>603</v>
      </c>
      <c r="C367" s="4" t="s">
        <v>560</v>
      </c>
      <c r="D367" s="5">
        <v>0.6041666666666666</v>
      </c>
      <c r="E367" s="5">
        <v>0.6666666666666666</v>
      </c>
      <c r="F367" s="4" t="s">
        <v>612</v>
      </c>
      <c r="G367" s="4" t="s">
        <v>196</v>
      </c>
      <c r="H367" s="6">
        <v>40.0</v>
      </c>
      <c r="I367" s="4" t="s">
        <v>166</v>
      </c>
      <c r="J367" s="7">
        <f t="shared" si="1"/>
        <v>1</v>
      </c>
    </row>
    <row r="368">
      <c r="A368" s="4" t="s">
        <v>9</v>
      </c>
      <c r="B368" s="4" t="s">
        <v>603</v>
      </c>
      <c r="C368" s="4" t="s">
        <v>560</v>
      </c>
      <c r="D368" s="5">
        <v>0.6041666666666666</v>
      </c>
      <c r="E368" s="5">
        <v>0.6666666666666666</v>
      </c>
      <c r="F368" s="4" t="s">
        <v>613</v>
      </c>
      <c r="G368" s="4" t="s">
        <v>196</v>
      </c>
      <c r="H368" s="6">
        <v>39.0</v>
      </c>
      <c r="I368" s="4" t="s">
        <v>166</v>
      </c>
      <c r="J368" s="7">
        <f t="shared" si="1"/>
        <v>1</v>
      </c>
    </row>
    <row r="369">
      <c r="A369" s="4" t="s">
        <v>9</v>
      </c>
      <c r="B369" s="4" t="s">
        <v>603</v>
      </c>
      <c r="C369" s="4" t="s">
        <v>560</v>
      </c>
      <c r="D369" s="5">
        <v>0.6041666666666666</v>
      </c>
      <c r="E369" s="5">
        <v>0.6666666666666666</v>
      </c>
      <c r="F369" s="4" t="s">
        <v>614</v>
      </c>
      <c r="G369" s="4" t="s">
        <v>42</v>
      </c>
      <c r="H369" s="6">
        <v>23.0</v>
      </c>
      <c r="I369" s="4" t="s">
        <v>608</v>
      </c>
      <c r="J369" s="7">
        <f t="shared" si="1"/>
        <v>1</v>
      </c>
    </row>
    <row r="370">
      <c r="A370" s="4" t="s">
        <v>9</v>
      </c>
      <c r="B370" s="4" t="s">
        <v>603</v>
      </c>
      <c r="C370" s="4" t="s">
        <v>560</v>
      </c>
      <c r="D370" s="5">
        <v>0.6041666666666666</v>
      </c>
      <c r="E370" s="5">
        <v>0.6666666666666666</v>
      </c>
      <c r="F370" s="4" t="s">
        <v>615</v>
      </c>
      <c r="G370" s="4" t="s">
        <v>42</v>
      </c>
      <c r="H370" s="6">
        <v>33.0</v>
      </c>
      <c r="I370" s="4" t="s">
        <v>616</v>
      </c>
      <c r="J370" s="7">
        <f t="shared" si="1"/>
        <v>1</v>
      </c>
    </row>
    <row r="371">
      <c r="A371" s="4" t="s">
        <v>9</v>
      </c>
      <c r="B371" s="4" t="s">
        <v>603</v>
      </c>
      <c r="C371" s="4" t="s">
        <v>560</v>
      </c>
      <c r="D371" s="5">
        <v>0.6041666666666666</v>
      </c>
      <c r="E371" s="5">
        <v>0.6666666666666666</v>
      </c>
      <c r="F371" s="4" t="s">
        <v>617</v>
      </c>
      <c r="G371" s="4" t="s">
        <v>42</v>
      </c>
      <c r="H371" s="6">
        <v>20.0</v>
      </c>
      <c r="I371" s="4" t="s">
        <v>616</v>
      </c>
      <c r="J371" s="7">
        <f t="shared" si="1"/>
        <v>1</v>
      </c>
    </row>
    <row r="372">
      <c r="A372" s="4" t="s">
        <v>9</v>
      </c>
      <c r="B372" s="4" t="s">
        <v>603</v>
      </c>
      <c r="C372" s="4" t="s">
        <v>560</v>
      </c>
      <c r="D372" s="5">
        <v>0.6041666666666666</v>
      </c>
      <c r="E372" s="5">
        <v>0.6666666666666666</v>
      </c>
      <c r="F372" s="4" t="s">
        <v>618</v>
      </c>
      <c r="G372" s="4" t="s">
        <v>45</v>
      </c>
      <c r="H372" s="6">
        <v>39.0</v>
      </c>
      <c r="I372" s="4" t="s">
        <v>619</v>
      </c>
      <c r="J372" s="7">
        <f t="shared" si="1"/>
        <v>1</v>
      </c>
    </row>
    <row r="373">
      <c r="A373" s="4" t="s">
        <v>9</v>
      </c>
      <c r="B373" s="4" t="s">
        <v>603</v>
      </c>
      <c r="C373" s="4" t="s">
        <v>560</v>
      </c>
      <c r="D373" s="5">
        <v>0.6041666666666666</v>
      </c>
      <c r="E373" s="5">
        <v>0.6666666666666666</v>
      </c>
      <c r="F373" s="4" t="s">
        <v>620</v>
      </c>
      <c r="G373" s="4" t="s">
        <v>251</v>
      </c>
      <c r="H373" s="6">
        <v>36.0</v>
      </c>
      <c r="I373" s="4" t="s">
        <v>37</v>
      </c>
      <c r="J373" s="7">
        <f t="shared" si="1"/>
        <v>1</v>
      </c>
    </row>
    <row r="374">
      <c r="A374" s="4" t="s">
        <v>9</v>
      </c>
      <c r="B374" s="4" t="s">
        <v>603</v>
      </c>
      <c r="C374" s="4" t="s">
        <v>560</v>
      </c>
      <c r="D374" s="5">
        <v>0.6041666666666666</v>
      </c>
      <c r="E374" s="5">
        <v>0.6666666666666666</v>
      </c>
      <c r="F374" s="4" t="s">
        <v>621</v>
      </c>
      <c r="G374" s="4" t="s">
        <v>251</v>
      </c>
      <c r="H374" s="6">
        <v>37.0</v>
      </c>
      <c r="I374" s="4" t="s">
        <v>37</v>
      </c>
      <c r="J374" s="7">
        <f t="shared" si="1"/>
        <v>1</v>
      </c>
    </row>
    <row r="375">
      <c r="A375" s="4" t="s">
        <v>9</v>
      </c>
      <c r="B375" s="4" t="s">
        <v>603</v>
      </c>
      <c r="C375" s="4" t="s">
        <v>560</v>
      </c>
      <c r="D375" s="5">
        <v>0.6041666666666666</v>
      </c>
      <c r="E375" s="5">
        <v>0.6666666666666666</v>
      </c>
      <c r="F375" s="4" t="s">
        <v>622</v>
      </c>
      <c r="G375" s="4" t="s">
        <v>359</v>
      </c>
      <c r="H375" s="6">
        <v>24.0</v>
      </c>
      <c r="I375" s="4" t="s">
        <v>484</v>
      </c>
      <c r="J375" s="7">
        <f t="shared" si="1"/>
        <v>1</v>
      </c>
    </row>
    <row r="376">
      <c r="A376" s="4" t="s">
        <v>9</v>
      </c>
      <c r="B376" s="4" t="s">
        <v>603</v>
      </c>
      <c r="C376" s="4" t="s">
        <v>560</v>
      </c>
      <c r="D376" s="5">
        <v>0.6041666666666666</v>
      </c>
      <c r="E376" s="5">
        <v>0.6666666666666666</v>
      </c>
      <c r="F376" s="4" t="s">
        <v>623</v>
      </c>
      <c r="G376" s="4" t="s">
        <v>359</v>
      </c>
      <c r="H376" s="6">
        <v>25.0</v>
      </c>
      <c r="I376" s="4" t="s">
        <v>484</v>
      </c>
      <c r="J376" s="7">
        <f t="shared" si="1"/>
        <v>1</v>
      </c>
    </row>
    <row r="377">
      <c r="A377" s="4" t="s">
        <v>9</v>
      </c>
      <c r="B377" s="4" t="s">
        <v>603</v>
      </c>
      <c r="C377" s="4" t="s">
        <v>560</v>
      </c>
      <c r="D377" s="5">
        <v>0.6041666666666666</v>
      </c>
      <c r="E377" s="5">
        <v>0.6666666666666666</v>
      </c>
      <c r="F377" s="4" t="s">
        <v>624</v>
      </c>
      <c r="G377" s="4" t="s">
        <v>371</v>
      </c>
      <c r="H377" s="6">
        <v>1.0</v>
      </c>
      <c r="I377" s="4" t="s">
        <v>82</v>
      </c>
      <c r="J377" s="7">
        <f t="shared" si="1"/>
        <v>1</v>
      </c>
    </row>
    <row r="378">
      <c r="A378" s="4" t="s">
        <v>9</v>
      </c>
      <c r="B378" s="4" t="s">
        <v>603</v>
      </c>
      <c r="C378" s="4" t="s">
        <v>560</v>
      </c>
      <c r="D378" s="5">
        <v>0.6041666666666666</v>
      </c>
      <c r="E378" s="5">
        <v>0.6666666666666666</v>
      </c>
      <c r="F378" s="4" t="s">
        <v>625</v>
      </c>
      <c r="G378" s="4" t="s">
        <v>371</v>
      </c>
      <c r="H378" s="6">
        <v>32.0</v>
      </c>
      <c r="I378" s="4" t="s">
        <v>82</v>
      </c>
      <c r="J378" s="7">
        <f t="shared" si="1"/>
        <v>1</v>
      </c>
    </row>
    <row r="379">
      <c r="A379" s="4" t="s">
        <v>9</v>
      </c>
      <c r="B379" s="4" t="s">
        <v>603</v>
      </c>
      <c r="C379" s="4" t="s">
        <v>560</v>
      </c>
      <c r="D379" s="5">
        <v>0.6041666666666666</v>
      </c>
      <c r="E379" s="5">
        <v>0.6666666666666666</v>
      </c>
      <c r="F379" s="4" t="s">
        <v>626</v>
      </c>
      <c r="G379" s="4" t="s">
        <v>371</v>
      </c>
      <c r="H379" s="6">
        <v>31.0</v>
      </c>
      <c r="I379" s="4" t="s">
        <v>82</v>
      </c>
      <c r="J379" s="7">
        <f t="shared" si="1"/>
        <v>1</v>
      </c>
    </row>
    <row r="380">
      <c r="A380" s="4" t="s">
        <v>9</v>
      </c>
      <c r="B380" s="4" t="s">
        <v>603</v>
      </c>
      <c r="C380" s="4" t="s">
        <v>560</v>
      </c>
      <c r="D380" s="5">
        <v>0.6041666666666666</v>
      </c>
      <c r="E380" s="5">
        <v>0.6666666666666666</v>
      </c>
      <c r="F380" s="4" t="s">
        <v>627</v>
      </c>
      <c r="G380" s="4" t="s">
        <v>371</v>
      </c>
      <c r="H380" s="6">
        <v>40.0</v>
      </c>
      <c r="I380" s="4" t="s">
        <v>330</v>
      </c>
      <c r="J380" s="7">
        <f t="shared" si="1"/>
        <v>1</v>
      </c>
    </row>
    <row r="381">
      <c r="A381" s="4" t="s">
        <v>9</v>
      </c>
      <c r="B381" s="4" t="s">
        <v>628</v>
      </c>
      <c r="C381" s="4" t="s">
        <v>629</v>
      </c>
      <c r="D381" s="5">
        <v>0.3541666666666667</v>
      </c>
      <c r="E381" s="5">
        <v>0.4166666666666667</v>
      </c>
      <c r="F381" s="4" t="s">
        <v>630</v>
      </c>
      <c r="G381" s="4" t="s">
        <v>45</v>
      </c>
      <c r="H381" s="6">
        <v>39.0</v>
      </c>
      <c r="I381" s="4" t="s">
        <v>631</v>
      </c>
      <c r="J381" s="7">
        <f t="shared" si="1"/>
        <v>-1</v>
      </c>
    </row>
    <row r="382">
      <c r="A382" s="4" t="s">
        <v>9</v>
      </c>
      <c r="B382" s="4" t="s">
        <v>628</v>
      </c>
      <c r="C382" s="4" t="s">
        <v>629</v>
      </c>
      <c r="D382" s="5">
        <v>0.3541666666666667</v>
      </c>
      <c r="E382" s="5">
        <v>0.4166666666666667</v>
      </c>
      <c r="F382" s="4" t="s">
        <v>632</v>
      </c>
      <c r="G382" s="4" t="s">
        <v>45</v>
      </c>
      <c r="H382" s="6">
        <v>39.0</v>
      </c>
      <c r="I382" s="4" t="s">
        <v>631</v>
      </c>
      <c r="J382" s="7">
        <f t="shared" si="1"/>
        <v>-1</v>
      </c>
    </row>
    <row r="383">
      <c r="A383" s="4" t="s">
        <v>9</v>
      </c>
      <c r="B383" s="4" t="s">
        <v>628</v>
      </c>
      <c r="C383" s="4" t="s">
        <v>629</v>
      </c>
      <c r="D383" s="5">
        <v>0.3541666666666667</v>
      </c>
      <c r="E383" s="5">
        <v>0.4166666666666667</v>
      </c>
      <c r="F383" s="4" t="s">
        <v>633</v>
      </c>
      <c r="G383" s="4" t="s">
        <v>45</v>
      </c>
      <c r="H383" s="6">
        <v>38.0</v>
      </c>
      <c r="I383" s="4" t="s">
        <v>631</v>
      </c>
      <c r="J383" s="7">
        <f t="shared" si="1"/>
        <v>-1</v>
      </c>
    </row>
    <row r="384">
      <c r="A384" s="4" t="s">
        <v>9</v>
      </c>
      <c r="B384" s="4" t="s">
        <v>628</v>
      </c>
      <c r="C384" s="4" t="s">
        <v>629</v>
      </c>
      <c r="D384" s="5">
        <v>0.3541666666666667</v>
      </c>
      <c r="E384" s="5">
        <v>0.4166666666666667</v>
      </c>
      <c r="F384" s="4" t="s">
        <v>634</v>
      </c>
      <c r="G384" s="4" t="s">
        <v>13</v>
      </c>
      <c r="H384" s="6">
        <v>32.0</v>
      </c>
      <c r="I384" s="4" t="s">
        <v>287</v>
      </c>
      <c r="J384" s="7">
        <f t="shared" si="1"/>
        <v>-1</v>
      </c>
    </row>
    <row r="385">
      <c r="A385" s="4" t="s">
        <v>9</v>
      </c>
      <c r="B385" s="4" t="s">
        <v>628</v>
      </c>
      <c r="C385" s="4" t="s">
        <v>629</v>
      </c>
      <c r="D385" s="5">
        <v>0.3541666666666667</v>
      </c>
      <c r="E385" s="5">
        <v>0.4166666666666667</v>
      </c>
      <c r="F385" s="4" t="s">
        <v>635</v>
      </c>
      <c r="G385" s="4" t="s">
        <v>236</v>
      </c>
      <c r="H385" s="6">
        <v>38.0</v>
      </c>
      <c r="I385" s="4" t="s">
        <v>636</v>
      </c>
      <c r="J385" s="7">
        <f t="shared" si="1"/>
        <v>-1</v>
      </c>
    </row>
    <row r="386">
      <c r="A386" s="4" t="s">
        <v>9</v>
      </c>
      <c r="B386" s="4" t="s">
        <v>628</v>
      </c>
      <c r="C386" s="4" t="s">
        <v>629</v>
      </c>
      <c r="D386" s="5">
        <v>0.3541666666666667</v>
      </c>
      <c r="E386" s="5">
        <v>0.4166666666666667</v>
      </c>
      <c r="F386" s="4" t="s">
        <v>637</v>
      </c>
      <c r="G386" s="4" t="s">
        <v>236</v>
      </c>
      <c r="H386" s="6">
        <v>16.0</v>
      </c>
      <c r="I386" s="4" t="s">
        <v>636</v>
      </c>
      <c r="J386" s="7">
        <f t="shared" si="1"/>
        <v>-1</v>
      </c>
    </row>
    <row r="387">
      <c r="A387" s="4" t="s">
        <v>9</v>
      </c>
      <c r="B387" s="4" t="s">
        <v>628</v>
      </c>
      <c r="C387" s="4" t="s">
        <v>629</v>
      </c>
      <c r="D387" s="5">
        <v>0.3541666666666667</v>
      </c>
      <c r="E387" s="5">
        <v>0.4166666666666667</v>
      </c>
      <c r="F387" s="4" t="s">
        <v>638</v>
      </c>
      <c r="G387" s="4" t="s">
        <v>236</v>
      </c>
      <c r="H387" s="6">
        <v>33.0</v>
      </c>
      <c r="I387" s="4" t="s">
        <v>639</v>
      </c>
      <c r="J387" s="7">
        <f t="shared" si="1"/>
        <v>-1</v>
      </c>
    </row>
    <row r="388">
      <c r="A388" s="4" t="s">
        <v>9</v>
      </c>
      <c r="B388" s="4" t="s">
        <v>628</v>
      </c>
      <c r="C388" s="4" t="s">
        <v>629</v>
      </c>
      <c r="D388" s="5">
        <v>0.3541666666666667</v>
      </c>
      <c r="E388" s="5">
        <v>0.4166666666666667</v>
      </c>
      <c r="F388" s="4" t="s">
        <v>640</v>
      </c>
      <c r="G388" s="4" t="s">
        <v>236</v>
      </c>
      <c r="H388" s="6">
        <v>38.0</v>
      </c>
      <c r="I388" s="4" t="s">
        <v>639</v>
      </c>
      <c r="J388" s="7">
        <f t="shared" si="1"/>
        <v>-1</v>
      </c>
    </row>
    <row r="389">
      <c r="A389" s="4" t="s">
        <v>9</v>
      </c>
      <c r="B389" s="4" t="s">
        <v>628</v>
      </c>
      <c r="C389" s="4" t="s">
        <v>629</v>
      </c>
      <c r="D389" s="5">
        <v>0.3541666666666667</v>
      </c>
      <c r="E389" s="5">
        <v>0.4166666666666667</v>
      </c>
      <c r="F389" s="4" t="s">
        <v>641</v>
      </c>
      <c r="G389" s="4" t="s">
        <v>551</v>
      </c>
      <c r="H389" s="6">
        <v>40.0</v>
      </c>
      <c r="I389" s="4" t="s">
        <v>256</v>
      </c>
      <c r="J389" s="7">
        <f t="shared" si="1"/>
        <v>-1</v>
      </c>
    </row>
    <row r="390">
      <c r="A390" s="4" t="s">
        <v>9</v>
      </c>
      <c r="B390" s="4" t="s">
        <v>628</v>
      </c>
      <c r="C390" s="4" t="s">
        <v>629</v>
      </c>
      <c r="D390" s="5">
        <v>0.3541666666666667</v>
      </c>
      <c r="E390" s="5">
        <v>0.4166666666666667</v>
      </c>
      <c r="F390" s="4" t="s">
        <v>642</v>
      </c>
      <c r="G390" s="4" t="s">
        <v>551</v>
      </c>
      <c r="H390" s="6">
        <v>40.0</v>
      </c>
      <c r="I390" s="4" t="s">
        <v>256</v>
      </c>
      <c r="J390" s="7">
        <f t="shared" si="1"/>
        <v>-1</v>
      </c>
    </row>
    <row r="391">
      <c r="A391" s="4" t="s">
        <v>9</v>
      </c>
      <c r="B391" s="4" t="s">
        <v>628</v>
      </c>
      <c r="C391" s="4" t="s">
        <v>629</v>
      </c>
      <c r="D391" s="5">
        <v>0.3541666666666667</v>
      </c>
      <c r="E391" s="5">
        <v>0.4166666666666667</v>
      </c>
      <c r="F391" s="4" t="s">
        <v>643</v>
      </c>
      <c r="G391" s="4" t="s">
        <v>63</v>
      </c>
      <c r="H391" s="6">
        <v>38.0</v>
      </c>
      <c r="I391" s="4" t="s">
        <v>579</v>
      </c>
      <c r="J391" s="7">
        <f t="shared" si="1"/>
        <v>-1</v>
      </c>
    </row>
    <row r="392">
      <c r="A392" s="4" t="s">
        <v>9</v>
      </c>
      <c r="B392" s="4" t="s">
        <v>628</v>
      </c>
      <c r="C392" s="4" t="s">
        <v>629</v>
      </c>
      <c r="D392" s="5">
        <v>0.3541666666666667</v>
      </c>
      <c r="E392" s="5">
        <v>0.4166666666666667</v>
      </c>
      <c r="F392" s="4" t="s">
        <v>644</v>
      </c>
      <c r="G392" s="4" t="s">
        <v>301</v>
      </c>
      <c r="H392" s="6">
        <v>41.0</v>
      </c>
      <c r="I392" s="4" t="s">
        <v>645</v>
      </c>
      <c r="J392" s="7">
        <f t="shared" si="1"/>
        <v>-1</v>
      </c>
    </row>
    <row r="393">
      <c r="A393" s="4" t="s">
        <v>9</v>
      </c>
      <c r="B393" s="4" t="s">
        <v>628</v>
      </c>
      <c r="C393" s="4" t="s">
        <v>629</v>
      </c>
      <c r="D393" s="5">
        <v>0.3541666666666667</v>
      </c>
      <c r="E393" s="5">
        <v>0.4166666666666667</v>
      </c>
      <c r="F393" s="4" t="s">
        <v>646</v>
      </c>
      <c r="G393" s="4" t="s">
        <v>301</v>
      </c>
      <c r="H393" s="6">
        <v>41.0</v>
      </c>
      <c r="I393" s="4" t="s">
        <v>645</v>
      </c>
      <c r="J393" s="7">
        <f t="shared" si="1"/>
        <v>-1</v>
      </c>
    </row>
    <row r="394">
      <c r="A394" s="4" t="s">
        <v>9</v>
      </c>
      <c r="B394" s="4" t="s">
        <v>628</v>
      </c>
      <c r="C394" s="4" t="s">
        <v>629</v>
      </c>
      <c r="D394" s="5">
        <v>0.3541666666666667</v>
      </c>
      <c r="E394" s="5">
        <v>0.4166666666666667</v>
      </c>
      <c r="F394" s="4" t="s">
        <v>647</v>
      </c>
      <c r="G394" s="4" t="s">
        <v>212</v>
      </c>
      <c r="H394" s="6">
        <v>31.0</v>
      </c>
      <c r="I394" s="4" t="s">
        <v>648</v>
      </c>
      <c r="J394" s="7">
        <f t="shared" si="1"/>
        <v>-1</v>
      </c>
    </row>
    <row r="395">
      <c r="A395" s="4" t="s">
        <v>9</v>
      </c>
      <c r="B395" s="4" t="s">
        <v>628</v>
      </c>
      <c r="C395" s="4" t="s">
        <v>629</v>
      </c>
      <c r="D395" s="5">
        <v>0.3541666666666667</v>
      </c>
      <c r="E395" s="5">
        <v>0.4166666666666667</v>
      </c>
      <c r="F395" s="4" t="s">
        <v>649</v>
      </c>
      <c r="G395" s="4" t="s">
        <v>212</v>
      </c>
      <c r="H395" s="6">
        <v>30.0</v>
      </c>
      <c r="I395" s="4" t="s">
        <v>648</v>
      </c>
      <c r="J395" s="7">
        <f t="shared" si="1"/>
        <v>-1</v>
      </c>
    </row>
    <row r="396">
      <c r="A396" s="4" t="s">
        <v>9</v>
      </c>
      <c r="B396" s="4" t="s">
        <v>650</v>
      </c>
      <c r="C396" s="4" t="s">
        <v>629</v>
      </c>
      <c r="D396" s="5">
        <v>0.4791666666666667</v>
      </c>
      <c r="E396" s="5">
        <v>0.5416666666666666</v>
      </c>
      <c r="F396" s="4" t="s">
        <v>651</v>
      </c>
      <c r="G396" s="4" t="s">
        <v>45</v>
      </c>
      <c r="H396" s="6">
        <v>37.0</v>
      </c>
      <c r="I396" s="4" t="s">
        <v>58</v>
      </c>
      <c r="J396" s="7">
        <f t="shared" si="1"/>
        <v>1</v>
      </c>
    </row>
    <row r="397">
      <c r="A397" s="4" t="s">
        <v>9</v>
      </c>
      <c r="B397" s="4" t="s">
        <v>650</v>
      </c>
      <c r="C397" s="4" t="s">
        <v>629</v>
      </c>
      <c r="D397" s="5">
        <v>0.4791666666666667</v>
      </c>
      <c r="E397" s="5">
        <v>0.5416666666666666</v>
      </c>
      <c r="F397" s="4" t="s">
        <v>652</v>
      </c>
      <c r="G397" s="4" t="s">
        <v>141</v>
      </c>
      <c r="H397" s="6">
        <v>38.0</v>
      </c>
      <c r="I397" s="4" t="s">
        <v>74</v>
      </c>
      <c r="J397" s="7">
        <f t="shared" si="1"/>
        <v>1</v>
      </c>
    </row>
    <row r="398">
      <c r="A398" s="4" t="s">
        <v>9</v>
      </c>
      <c r="B398" s="4" t="s">
        <v>650</v>
      </c>
      <c r="C398" s="4" t="s">
        <v>629</v>
      </c>
      <c r="D398" s="5">
        <v>0.4791666666666667</v>
      </c>
      <c r="E398" s="5">
        <v>0.5416666666666666</v>
      </c>
      <c r="F398" s="4" t="s">
        <v>653</v>
      </c>
      <c r="G398" s="4" t="s">
        <v>141</v>
      </c>
      <c r="H398" s="6">
        <v>38.0</v>
      </c>
      <c r="I398" s="4" t="s">
        <v>74</v>
      </c>
      <c r="J398" s="7">
        <f t="shared" si="1"/>
        <v>1</v>
      </c>
    </row>
    <row r="399">
      <c r="A399" s="4" t="s">
        <v>9</v>
      </c>
      <c r="B399" s="4" t="s">
        <v>650</v>
      </c>
      <c r="C399" s="4" t="s">
        <v>629</v>
      </c>
      <c r="D399" s="5">
        <v>0.4791666666666667</v>
      </c>
      <c r="E399" s="5">
        <v>0.5416666666666666</v>
      </c>
      <c r="F399" s="4" t="s">
        <v>654</v>
      </c>
      <c r="G399" s="4" t="s">
        <v>315</v>
      </c>
      <c r="H399" s="6">
        <v>39.0</v>
      </c>
      <c r="I399" s="4" t="s">
        <v>34</v>
      </c>
      <c r="J399" s="7">
        <f t="shared" si="1"/>
        <v>1</v>
      </c>
    </row>
    <row r="400">
      <c r="A400" s="4" t="s">
        <v>9</v>
      </c>
      <c r="B400" s="4" t="s">
        <v>650</v>
      </c>
      <c r="C400" s="4" t="s">
        <v>629</v>
      </c>
      <c r="D400" s="5">
        <v>0.4791666666666667</v>
      </c>
      <c r="E400" s="5">
        <v>0.5416666666666666</v>
      </c>
      <c r="F400" s="4" t="s">
        <v>655</v>
      </c>
      <c r="G400" s="4" t="s">
        <v>315</v>
      </c>
      <c r="H400" s="6">
        <v>26.0</v>
      </c>
      <c r="I400" s="4" t="s">
        <v>34</v>
      </c>
      <c r="J400" s="7">
        <f t="shared" si="1"/>
        <v>1</v>
      </c>
    </row>
    <row r="401">
      <c r="A401" s="4" t="s">
        <v>9</v>
      </c>
      <c r="B401" s="4" t="s">
        <v>650</v>
      </c>
      <c r="C401" s="4" t="s">
        <v>629</v>
      </c>
      <c r="D401" s="5">
        <v>0.4791666666666667</v>
      </c>
      <c r="E401" s="5">
        <v>0.5416666666666666</v>
      </c>
      <c r="F401" s="4" t="s">
        <v>656</v>
      </c>
      <c r="G401" s="4" t="s">
        <v>107</v>
      </c>
      <c r="H401" s="6">
        <v>41.0</v>
      </c>
      <c r="I401" s="4" t="s">
        <v>657</v>
      </c>
      <c r="J401" s="7">
        <f t="shared" si="1"/>
        <v>1</v>
      </c>
    </row>
    <row r="402">
      <c r="A402" s="4" t="s">
        <v>9</v>
      </c>
      <c r="B402" s="4" t="s">
        <v>650</v>
      </c>
      <c r="C402" s="4" t="s">
        <v>629</v>
      </c>
      <c r="D402" s="5">
        <v>0.4791666666666667</v>
      </c>
      <c r="E402" s="5">
        <v>0.5416666666666666</v>
      </c>
      <c r="F402" s="4" t="s">
        <v>658</v>
      </c>
      <c r="G402" s="4" t="s">
        <v>107</v>
      </c>
      <c r="H402" s="6">
        <v>41.0</v>
      </c>
      <c r="I402" s="4" t="s">
        <v>657</v>
      </c>
      <c r="J402" s="7">
        <f t="shared" si="1"/>
        <v>1</v>
      </c>
    </row>
    <row r="403">
      <c r="A403" s="4" t="s">
        <v>9</v>
      </c>
      <c r="B403" s="4" t="s">
        <v>650</v>
      </c>
      <c r="C403" s="4" t="s">
        <v>629</v>
      </c>
      <c r="D403" s="5">
        <v>0.4791666666666667</v>
      </c>
      <c r="E403" s="5">
        <v>0.5416666666666666</v>
      </c>
      <c r="F403" s="4" t="s">
        <v>659</v>
      </c>
      <c r="G403" s="4" t="s">
        <v>107</v>
      </c>
      <c r="H403" s="6">
        <v>41.0</v>
      </c>
      <c r="I403" s="4" t="s">
        <v>657</v>
      </c>
      <c r="J403" s="7">
        <f t="shared" si="1"/>
        <v>1</v>
      </c>
    </row>
    <row r="404">
      <c r="A404" s="4" t="s">
        <v>9</v>
      </c>
      <c r="B404" s="4" t="s">
        <v>650</v>
      </c>
      <c r="C404" s="4" t="s">
        <v>629</v>
      </c>
      <c r="D404" s="5">
        <v>0.4791666666666667</v>
      </c>
      <c r="E404" s="5">
        <v>0.5416666666666666</v>
      </c>
      <c r="F404" s="4" t="s">
        <v>660</v>
      </c>
      <c r="G404" s="4" t="s">
        <v>25</v>
      </c>
      <c r="H404" s="6">
        <v>31.0</v>
      </c>
      <c r="I404" s="4" t="s">
        <v>661</v>
      </c>
      <c r="J404" s="7">
        <f t="shared" si="1"/>
        <v>1</v>
      </c>
    </row>
    <row r="405">
      <c r="A405" s="4" t="s">
        <v>9</v>
      </c>
      <c r="B405" s="4" t="s">
        <v>650</v>
      </c>
      <c r="C405" s="4" t="s">
        <v>629</v>
      </c>
      <c r="D405" s="5">
        <v>0.4791666666666667</v>
      </c>
      <c r="E405" s="5">
        <v>0.5416666666666666</v>
      </c>
      <c r="F405" s="4" t="s">
        <v>662</v>
      </c>
      <c r="G405" s="4" t="s">
        <v>25</v>
      </c>
      <c r="H405" s="6">
        <v>31.0</v>
      </c>
      <c r="I405" s="4" t="s">
        <v>663</v>
      </c>
      <c r="J405" s="7">
        <f t="shared" si="1"/>
        <v>1</v>
      </c>
    </row>
    <row r="406">
      <c r="A406" s="4" t="s">
        <v>9</v>
      </c>
      <c r="B406" s="4" t="s">
        <v>650</v>
      </c>
      <c r="C406" s="4" t="s">
        <v>629</v>
      </c>
      <c r="D406" s="5">
        <v>0.4791666666666667</v>
      </c>
      <c r="E406" s="5">
        <v>0.5416666666666666</v>
      </c>
      <c r="F406" s="4" t="s">
        <v>664</v>
      </c>
      <c r="G406" s="4" t="s">
        <v>25</v>
      </c>
      <c r="H406" s="6">
        <v>32.0</v>
      </c>
      <c r="I406" s="4" t="s">
        <v>663</v>
      </c>
      <c r="J406" s="7">
        <f t="shared" si="1"/>
        <v>1</v>
      </c>
    </row>
    <row r="407">
      <c r="A407" s="4" t="s">
        <v>9</v>
      </c>
      <c r="B407" s="4" t="s">
        <v>650</v>
      </c>
      <c r="C407" s="4" t="s">
        <v>629</v>
      </c>
      <c r="D407" s="5">
        <v>0.4791666666666667</v>
      </c>
      <c r="E407" s="5">
        <v>0.5416666666666666</v>
      </c>
      <c r="F407" s="4" t="s">
        <v>665</v>
      </c>
      <c r="G407" s="4" t="s">
        <v>25</v>
      </c>
      <c r="H407" s="6">
        <v>32.0</v>
      </c>
      <c r="I407" s="4" t="s">
        <v>663</v>
      </c>
      <c r="J407" s="7">
        <f t="shared" si="1"/>
        <v>1</v>
      </c>
    </row>
    <row r="408">
      <c r="A408" s="4" t="s">
        <v>9</v>
      </c>
      <c r="B408" s="4" t="s">
        <v>650</v>
      </c>
      <c r="C408" s="4" t="s">
        <v>629</v>
      </c>
      <c r="D408" s="5">
        <v>0.4791666666666667</v>
      </c>
      <c r="E408" s="5">
        <v>0.5416666666666666</v>
      </c>
      <c r="F408" s="4" t="s">
        <v>666</v>
      </c>
      <c r="G408" s="4" t="s">
        <v>25</v>
      </c>
      <c r="H408" s="6">
        <v>42.0</v>
      </c>
      <c r="I408" s="4" t="s">
        <v>661</v>
      </c>
      <c r="J408" s="7">
        <f t="shared" si="1"/>
        <v>1</v>
      </c>
    </row>
    <row r="409">
      <c r="A409" s="4" t="s">
        <v>9</v>
      </c>
      <c r="B409" s="4" t="s">
        <v>650</v>
      </c>
      <c r="C409" s="4" t="s">
        <v>629</v>
      </c>
      <c r="D409" s="5">
        <v>0.4791666666666667</v>
      </c>
      <c r="E409" s="5">
        <v>0.5416666666666666</v>
      </c>
      <c r="F409" s="4" t="s">
        <v>667</v>
      </c>
      <c r="G409" s="4" t="s">
        <v>25</v>
      </c>
      <c r="H409" s="6">
        <v>8.0</v>
      </c>
      <c r="I409" s="4" t="s">
        <v>663</v>
      </c>
      <c r="J409" s="7">
        <f t="shared" si="1"/>
        <v>1</v>
      </c>
    </row>
    <row r="410">
      <c r="A410" s="4" t="s">
        <v>9</v>
      </c>
      <c r="B410" s="4" t="s">
        <v>650</v>
      </c>
      <c r="C410" s="4" t="s">
        <v>629</v>
      </c>
      <c r="D410" s="5">
        <v>0.4791666666666667</v>
      </c>
      <c r="E410" s="5">
        <v>0.5416666666666666</v>
      </c>
      <c r="F410" s="4" t="s">
        <v>668</v>
      </c>
      <c r="G410" s="4" t="s">
        <v>491</v>
      </c>
      <c r="H410" s="6">
        <v>38.0</v>
      </c>
      <c r="I410" s="4" t="s">
        <v>663</v>
      </c>
      <c r="J410" s="7">
        <f t="shared" si="1"/>
        <v>1</v>
      </c>
    </row>
    <row r="411">
      <c r="A411" s="4" t="s">
        <v>9</v>
      </c>
      <c r="B411" s="4" t="s">
        <v>650</v>
      </c>
      <c r="C411" s="4" t="s">
        <v>629</v>
      </c>
      <c r="D411" s="5">
        <v>0.4791666666666667</v>
      </c>
      <c r="E411" s="5">
        <v>0.5416666666666666</v>
      </c>
      <c r="F411" s="4" t="s">
        <v>669</v>
      </c>
      <c r="G411" s="4" t="s">
        <v>491</v>
      </c>
      <c r="H411" s="6">
        <v>40.0</v>
      </c>
      <c r="I411" s="4" t="s">
        <v>663</v>
      </c>
      <c r="J411" s="7">
        <f t="shared" si="1"/>
        <v>1</v>
      </c>
    </row>
    <row r="412">
      <c r="A412" s="4" t="s">
        <v>9</v>
      </c>
      <c r="B412" s="4" t="s">
        <v>670</v>
      </c>
      <c r="C412" s="4" t="s">
        <v>629</v>
      </c>
      <c r="D412" s="5">
        <v>0.6041666666666666</v>
      </c>
      <c r="E412" s="5">
        <v>0.6666666666666666</v>
      </c>
      <c r="F412" s="4" t="s">
        <v>671</v>
      </c>
      <c r="G412" s="4" t="s">
        <v>45</v>
      </c>
      <c r="H412" s="6">
        <v>39.0</v>
      </c>
      <c r="I412" s="4" t="s">
        <v>672</v>
      </c>
      <c r="J412" s="7">
        <f t="shared" si="1"/>
        <v>-1</v>
      </c>
    </row>
    <row r="413">
      <c r="A413" s="4" t="s">
        <v>9</v>
      </c>
      <c r="B413" s="4" t="s">
        <v>670</v>
      </c>
      <c r="C413" s="4" t="s">
        <v>629</v>
      </c>
      <c r="D413" s="5">
        <v>0.6041666666666666</v>
      </c>
      <c r="E413" s="5">
        <v>0.6666666666666666</v>
      </c>
      <c r="F413" s="4" t="s">
        <v>673</v>
      </c>
      <c r="G413" s="4" t="s">
        <v>45</v>
      </c>
      <c r="H413" s="6">
        <v>40.0</v>
      </c>
      <c r="I413" s="4" t="s">
        <v>672</v>
      </c>
      <c r="J413" s="7">
        <f t="shared" si="1"/>
        <v>-1</v>
      </c>
    </row>
    <row r="414">
      <c r="A414" s="4" t="s">
        <v>9</v>
      </c>
      <c r="B414" s="4" t="s">
        <v>670</v>
      </c>
      <c r="C414" s="4" t="s">
        <v>629</v>
      </c>
      <c r="D414" s="5">
        <v>0.6041666666666666</v>
      </c>
      <c r="E414" s="5">
        <v>0.6666666666666666</v>
      </c>
      <c r="F414" s="4" t="s">
        <v>674</v>
      </c>
      <c r="G414" s="4" t="s">
        <v>101</v>
      </c>
      <c r="H414" s="6">
        <v>41.0</v>
      </c>
      <c r="I414" s="4" t="s">
        <v>619</v>
      </c>
      <c r="J414" s="7">
        <f t="shared" si="1"/>
        <v>-1</v>
      </c>
    </row>
    <row r="415">
      <c r="A415" s="4" t="s">
        <v>9</v>
      </c>
      <c r="B415" s="4" t="s">
        <v>670</v>
      </c>
      <c r="C415" s="4" t="s">
        <v>629</v>
      </c>
      <c r="D415" s="5">
        <v>0.6041666666666666</v>
      </c>
      <c r="E415" s="5">
        <v>0.6666666666666666</v>
      </c>
      <c r="F415" s="4" t="s">
        <v>675</v>
      </c>
      <c r="G415" s="4" t="s">
        <v>551</v>
      </c>
      <c r="H415" s="6">
        <v>36.0</v>
      </c>
      <c r="I415" s="4" t="s">
        <v>631</v>
      </c>
      <c r="J415" s="7">
        <f t="shared" si="1"/>
        <v>-1</v>
      </c>
    </row>
    <row r="416">
      <c r="A416" s="4" t="s">
        <v>9</v>
      </c>
      <c r="B416" s="4" t="s">
        <v>670</v>
      </c>
      <c r="C416" s="4" t="s">
        <v>629</v>
      </c>
      <c r="D416" s="5">
        <v>0.6041666666666666</v>
      </c>
      <c r="E416" s="5">
        <v>0.6666666666666666</v>
      </c>
      <c r="F416" s="4" t="s">
        <v>676</v>
      </c>
      <c r="G416" s="4" t="s">
        <v>81</v>
      </c>
      <c r="H416" s="6">
        <v>40.0</v>
      </c>
      <c r="I416" s="4" t="s">
        <v>77</v>
      </c>
      <c r="J416" s="7">
        <f t="shared" si="1"/>
        <v>-1</v>
      </c>
    </row>
    <row r="417">
      <c r="A417" s="4" t="s">
        <v>9</v>
      </c>
      <c r="B417" s="4" t="s">
        <v>670</v>
      </c>
      <c r="C417" s="4" t="s">
        <v>629</v>
      </c>
      <c r="D417" s="5">
        <v>0.6041666666666666</v>
      </c>
      <c r="E417" s="5">
        <v>0.6666666666666666</v>
      </c>
      <c r="F417" s="4" t="s">
        <v>677</v>
      </c>
      <c r="G417" s="4" t="s">
        <v>85</v>
      </c>
      <c r="H417" s="6">
        <v>42.0</v>
      </c>
      <c r="I417" s="4" t="s">
        <v>678</v>
      </c>
      <c r="J417" s="7">
        <f t="shared" si="1"/>
        <v>-1</v>
      </c>
    </row>
    <row r="418">
      <c r="A418" s="4" t="s">
        <v>9</v>
      </c>
      <c r="B418" s="4" t="s">
        <v>670</v>
      </c>
      <c r="C418" s="4" t="s">
        <v>629</v>
      </c>
      <c r="D418" s="5">
        <v>0.6041666666666666</v>
      </c>
      <c r="E418" s="5">
        <v>0.6666666666666666</v>
      </c>
      <c r="F418" s="4" t="s">
        <v>679</v>
      </c>
      <c r="G418" s="4" t="s">
        <v>85</v>
      </c>
      <c r="H418" s="6">
        <v>42.0</v>
      </c>
      <c r="I418" s="4" t="s">
        <v>678</v>
      </c>
      <c r="J418" s="7">
        <f t="shared" si="1"/>
        <v>-1</v>
      </c>
    </row>
    <row r="419">
      <c r="A419" s="4" t="s">
        <v>9</v>
      </c>
      <c r="B419" s="4" t="s">
        <v>670</v>
      </c>
      <c r="C419" s="4" t="s">
        <v>629</v>
      </c>
      <c r="D419" s="5">
        <v>0.6041666666666666</v>
      </c>
      <c r="E419" s="5">
        <v>0.6666666666666666</v>
      </c>
      <c r="F419" s="4" t="s">
        <v>680</v>
      </c>
      <c r="G419" s="4" t="s">
        <v>85</v>
      </c>
      <c r="H419" s="6">
        <v>42.0</v>
      </c>
      <c r="I419" s="4" t="s">
        <v>681</v>
      </c>
      <c r="J419" s="7">
        <f t="shared" si="1"/>
        <v>-1</v>
      </c>
    </row>
    <row r="420">
      <c r="A420" s="4" t="s">
        <v>9</v>
      </c>
      <c r="B420" s="4" t="s">
        <v>670</v>
      </c>
      <c r="C420" s="4" t="s">
        <v>629</v>
      </c>
      <c r="D420" s="5">
        <v>0.6041666666666666</v>
      </c>
      <c r="E420" s="5">
        <v>0.6666666666666666</v>
      </c>
      <c r="F420" s="4" t="s">
        <v>682</v>
      </c>
      <c r="G420" s="4" t="s">
        <v>491</v>
      </c>
      <c r="H420" s="6">
        <v>41.0</v>
      </c>
      <c r="I420" s="4" t="s">
        <v>683</v>
      </c>
      <c r="J420" s="7">
        <f t="shared" si="1"/>
        <v>-1</v>
      </c>
    </row>
    <row r="421">
      <c r="A421" s="4" t="s">
        <v>9</v>
      </c>
      <c r="B421" s="4" t="s">
        <v>670</v>
      </c>
      <c r="C421" s="4" t="s">
        <v>629</v>
      </c>
      <c r="D421" s="5">
        <v>0.6041666666666666</v>
      </c>
      <c r="E421" s="5">
        <v>0.6666666666666666</v>
      </c>
      <c r="F421" s="4" t="s">
        <v>684</v>
      </c>
      <c r="G421" s="4" t="s">
        <v>491</v>
      </c>
      <c r="H421" s="6">
        <v>42.0</v>
      </c>
      <c r="I421" s="4" t="s">
        <v>685</v>
      </c>
      <c r="J421" s="7">
        <f t="shared" si="1"/>
        <v>-1</v>
      </c>
    </row>
    <row r="422">
      <c r="A422" s="4" t="s">
        <v>9</v>
      </c>
      <c r="B422" s="4" t="s">
        <v>670</v>
      </c>
      <c r="C422" s="4" t="s">
        <v>629</v>
      </c>
      <c r="D422" s="5">
        <v>0.6041666666666666</v>
      </c>
      <c r="E422" s="5">
        <v>0.6666666666666666</v>
      </c>
      <c r="F422" s="4" t="s">
        <v>686</v>
      </c>
      <c r="G422" s="4" t="s">
        <v>491</v>
      </c>
      <c r="H422" s="6">
        <v>42.0</v>
      </c>
      <c r="I422" s="4" t="s">
        <v>685</v>
      </c>
      <c r="J422" s="7">
        <f t="shared" si="1"/>
        <v>-1</v>
      </c>
    </row>
    <row r="423">
      <c r="A423" s="4" t="s">
        <v>9</v>
      </c>
      <c r="B423" s="4" t="s">
        <v>670</v>
      </c>
      <c r="C423" s="4" t="s">
        <v>629</v>
      </c>
      <c r="D423" s="5">
        <v>0.6041666666666666</v>
      </c>
      <c r="E423" s="5">
        <v>0.6666666666666666</v>
      </c>
      <c r="F423" s="4" t="s">
        <v>687</v>
      </c>
      <c r="G423" s="4" t="s">
        <v>491</v>
      </c>
      <c r="H423" s="6">
        <v>41.0</v>
      </c>
      <c r="I423" s="4" t="s">
        <v>683</v>
      </c>
      <c r="J423" s="7">
        <f t="shared" si="1"/>
        <v>-1</v>
      </c>
    </row>
    <row r="424">
      <c r="A424" s="4" t="s">
        <v>9</v>
      </c>
      <c r="B424" s="4" t="s">
        <v>670</v>
      </c>
      <c r="C424" s="4" t="s">
        <v>629</v>
      </c>
      <c r="D424" s="5">
        <v>0.6041666666666666</v>
      </c>
      <c r="E424" s="5">
        <v>0.6666666666666666</v>
      </c>
      <c r="F424" s="4" t="s">
        <v>688</v>
      </c>
      <c r="G424" s="4" t="s">
        <v>445</v>
      </c>
      <c r="H424" s="6">
        <v>19.0</v>
      </c>
      <c r="I424" s="4" t="s">
        <v>689</v>
      </c>
      <c r="J424" s="7">
        <f t="shared" si="1"/>
        <v>-1</v>
      </c>
    </row>
    <row r="425">
      <c r="A425" s="4" t="s">
        <v>9</v>
      </c>
      <c r="B425" s="4" t="s">
        <v>670</v>
      </c>
      <c r="C425" s="4" t="s">
        <v>629</v>
      </c>
      <c r="D425" s="5">
        <v>0.6041666666666666</v>
      </c>
      <c r="E425" s="5">
        <v>0.6666666666666666</v>
      </c>
      <c r="F425" s="4" t="s">
        <v>690</v>
      </c>
      <c r="G425" s="4" t="s">
        <v>445</v>
      </c>
      <c r="H425" s="6">
        <v>35.0</v>
      </c>
      <c r="I425" s="4" t="s">
        <v>689</v>
      </c>
      <c r="J425" s="7">
        <f t="shared" si="1"/>
        <v>-1</v>
      </c>
    </row>
    <row r="426">
      <c r="A426" s="4" t="s">
        <v>9</v>
      </c>
      <c r="B426" s="4" t="s">
        <v>670</v>
      </c>
      <c r="C426" s="4" t="s">
        <v>629</v>
      </c>
      <c r="D426" s="5">
        <v>0.6041666666666666</v>
      </c>
      <c r="E426" s="5">
        <v>0.6666666666666666</v>
      </c>
      <c r="F426" s="4" t="s">
        <v>691</v>
      </c>
      <c r="G426" s="4" t="s">
        <v>88</v>
      </c>
      <c r="H426" s="6">
        <v>41.0</v>
      </c>
      <c r="I426" s="4" t="s">
        <v>692</v>
      </c>
      <c r="J426" s="7">
        <f t="shared" si="1"/>
        <v>-1</v>
      </c>
    </row>
    <row r="427">
      <c r="A427" s="4" t="s">
        <v>348</v>
      </c>
      <c r="B427" s="4" t="s">
        <v>693</v>
      </c>
      <c r="C427" s="4" t="s">
        <v>694</v>
      </c>
      <c r="D427" s="5">
        <v>0.375</v>
      </c>
      <c r="E427" s="5">
        <v>0.4375</v>
      </c>
      <c r="F427" s="4" t="s">
        <v>695</v>
      </c>
      <c r="G427" s="4" t="s">
        <v>42</v>
      </c>
      <c r="H427" s="6">
        <v>30.0</v>
      </c>
      <c r="I427" s="4" t="s">
        <v>197</v>
      </c>
      <c r="J427" s="7">
        <f t="shared" si="1"/>
        <v>1</v>
      </c>
    </row>
    <row r="428">
      <c r="A428" s="4" t="s">
        <v>348</v>
      </c>
      <c r="B428" s="4" t="s">
        <v>693</v>
      </c>
      <c r="C428" s="4" t="s">
        <v>694</v>
      </c>
      <c r="D428" s="5">
        <v>0.375</v>
      </c>
      <c r="E428" s="5">
        <v>0.4375</v>
      </c>
      <c r="F428" s="4" t="s">
        <v>696</v>
      </c>
      <c r="G428" s="4" t="s">
        <v>141</v>
      </c>
      <c r="H428" s="6">
        <v>41.0</v>
      </c>
      <c r="I428" s="4" t="s">
        <v>279</v>
      </c>
      <c r="J428" s="7">
        <f t="shared" si="1"/>
        <v>1</v>
      </c>
    </row>
    <row r="429">
      <c r="A429" s="4" t="s">
        <v>348</v>
      </c>
      <c r="B429" s="4" t="s">
        <v>693</v>
      </c>
      <c r="C429" s="4" t="s">
        <v>694</v>
      </c>
      <c r="D429" s="5">
        <v>0.375</v>
      </c>
      <c r="E429" s="5">
        <v>0.4375</v>
      </c>
      <c r="F429" s="4" t="s">
        <v>697</v>
      </c>
      <c r="G429" s="4" t="s">
        <v>141</v>
      </c>
      <c r="H429" s="6">
        <v>39.0</v>
      </c>
      <c r="I429" s="4" t="s">
        <v>168</v>
      </c>
      <c r="J429" s="7">
        <f t="shared" si="1"/>
        <v>1</v>
      </c>
    </row>
    <row r="430">
      <c r="A430" s="4" t="s">
        <v>348</v>
      </c>
      <c r="B430" s="4" t="s">
        <v>693</v>
      </c>
      <c r="C430" s="4" t="s">
        <v>694</v>
      </c>
      <c r="D430" s="5">
        <v>0.375</v>
      </c>
      <c r="E430" s="5">
        <v>0.4375</v>
      </c>
      <c r="F430" s="4" t="s">
        <v>698</v>
      </c>
      <c r="G430" s="4" t="s">
        <v>551</v>
      </c>
      <c r="H430" s="6">
        <v>40.0</v>
      </c>
      <c r="I430" s="4" t="s">
        <v>375</v>
      </c>
      <c r="J430" s="7">
        <f t="shared" si="1"/>
        <v>1</v>
      </c>
    </row>
    <row r="431">
      <c r="A431" s="4" t="s">
        <v>348</v>
      </c>
      <c r="B431" s="4" t="s">
        <v>699</v>
      </c>
      <c r="C431" s="4" t="s">
        <v>694</v>
      </c>
      <c r="D431" s="5">
        <v>0.4791666666666667</v>
      </c>
      <c r="E431" s="5">
        <v>0.5416666666666666</v>
      </c>
      <c r="F431" s="4" t="s">
        <v>700</v>
      </c>
      <c r="G431" s="4" t="s">
        <v>193</v>
      </c>
      <c r="H431" s="6">
        <v>29.0</v>
      </c>
      <c r="I431" s="4" t="s">
        <v>701</v>
      </c>
      <c r="J431" s="7">
        <f t="shared" si="1"/>
        <v>-1</v>
      </c>
    </row>
    <row r="432">
      <c r="A432" s="4" t="s">
        <v>348</v>
      </c>
      <c r="B432" s="4" t="s">
        <v>699</v>
      </c>
      <c r="C432" s="4" t="s">
        <v>694</v>
      </c>
      <c r="D432" s="5">
        <v>0.4791666666666667</v>
      </c>
      <c r="E432" s="5">
        <v>0.5416666666666666</v>
      </c>
      <c r="F432" s="4" t="s">
        <v>702</v>
      </c>
      <c r="G432" s="4" t="s">
        <v>703</v>
      </c>
      <c r="H432" s="6">
        <v>40.0</v>
      </c>
      <c r="I432" s="4" t="s">
        <v>173</v>
      </c>
      <c r="J432" s="7">
        <f t="shared" si="1"/>
        <v>-1</v>
      </c>
    </row>
    <row r="433">
      <c r="A433" s="4" t="s">
        <v>348</v>
      </c>
      <c r="B433" s="4" t="s">
        <v>699</v>
      </c>
      <c r="C433" s="4" t="s">
        <v>694</v>
      </c>
      <c r="D433" s="5">
        <v>0.4791666666666667</v>
      </c>
      <c r="E433" s="5">
        <v>0.5416666666666666</v>
      </c>
      <c r="F433" s="4" t="s">
        <v>704</v>
      </c>
      <c r="G433" s="4" t="s">
        <v>379</v>
      </c>
      <c r="H433" s="6">
        <v>30.0</v>
      </c>
      <c r="I433" s="4" t="s">
        <v>380</v>
      </c>
      <c r="J433" s="7">
        <f t="shared" si="1"/>
        <v>-1</v>
      </c>
    </row>
    <row r="434">
      <c r="A434" s="4" t="s">
        <v>348</v>
      </c>
      <c r="B434" s="4" t="s">
        <v>699</v>
      </c>
      <c r="C434" s="4" t="s">
        <v>694</v>
      </c>
      <c r="D434" s="5">
        <v>0.4791666666666667</v>
      </c>
      <c r="E434" s="5">
        <v>0.5416666666666666</v>
      </c>
      <c r="F434" s="4" t="s">
        <v>705</v>
      </c>
      <c r="G434" s="4" t="s">
        <v>236</v>
      </c>
      <c r="H434" s="6">
        <v>40.0</v>
      </c>
      <c r="I434" s="4" t="s">
        <v>706</v>
      </c>
      <c r="J434" s="7">
        <f t="shared" si="1"/>
        <v>-1</v>
      </c>
    </row>
    <row r="435">
      <c r="A435" s="4" t="s">
        <v>348</v>
      </c>
      <c r="B435" s="4" t="s">
        <v>699</v>
      </c>
      <c r="C435" s="4" t="s">
        <v>694</v>
      </c>
      <c r="D435" s="5">
        <v>0.4791666666666667</v>
      </c>
      <c r="E435" s="5">
        <v>0.5416666666666666</v>
      </c>
      <c r="F435" s="4" t="s">
        <v>707</v>
      </c>
      <c r="G435" s="4" t="s">
        <v>394</v>
      </c>
      <c r="H435" s="6">
        <v>29.0</v>
      </c>
      <c r="I435" s="4" t="s">
        <v>708</v>
      </c>
      <c r="J435" s="7">
        <f t="shared" si="1"/>
        <v>-1</v>
      </c>
    </row>
    <row r="436">
      <c r="A436" s="4" t="s">
        <v>348</v>
      </c>
      <c r="B436" s="4" t="s">
        <v>699</v>
      </c>
      <c r="C436" s="4" t="s">
        <v>694</v>
      </c>
      <c r="D436" s="5">
        <v>0.4791666666666667</v>
      </c>
      <c r="E436" s="5">
        <v>0.5416666666666666</v>
      </c>
      <c r="F436" s="4" t="s">
        <v>709</v>
      </c>
      <c r="G436" s="4" t="s">
        <v>212</v>
      </c>
      <c r="H436" s="6">
        <v>19.0</v>
      </c>
      <c r="I436" s="4" t="s">
        <v>710</v>
      </c>
      <c r="J436" s="7">
        <f t="shared" si="1"/>
        <v>-1</v>
      </c>
    </row>
    <row r="437">
      <c r="A437" s="4" t="s">
        <v>348</v>
      </c>
      <c r="B437" s="4" t="s">
        <v>711</v>
      </c>
      <c r="C437" s="4" t="s">
        <v>694</v>
      </c>
      <c r="D437" s="5">
        <v>0.6041666666666666</v>
      </c>
      <c r="E437" s="5">
        <v>0.6666666666666666</v>
      </c>
      <c r="F437" s="4" t="s">
        <v>712</v>
      </c>
      <c r="G437" s="4" t="s">
        <v>220</v>
      </c>
      <c r="H437" s="6">
        <v>43.0</v>
      </c>
      <c r="I437" s="4" t="s">
        <v>713</v>
      </c>
      <c r="J437" s="7">
        <f t="shared" si="1"/>
        <v>1</v>
      </c>
    </row>
    <row r="438">
      <c r="A438" s="4" t="s">
        <v>348</v>
      </c>
      <c r="B438" s="4" t="s">
        <v>711</v>
      </c>
      <c r="C438" s="4" t="s">
        <v>694</v>
      </c>
      <c r="D438" s="5">
        <v>0.6041666666666666</v>
      </c>
      <c r="E438" s="5">
        <v>0.6666666666666666</v>
      </c>
      <c r="F438" s="4" t="s">
        <v>714</v>
      </c>
      <c r="G438" s="4" t="s">
        <v>13</v>
      </c>
      <c r="H438" s="6">
        <v>38.0</v>
      </c>
      <c r="I438" s="4" t="s">
        <v>356</v>
      </c>
      <c r="J438" s="7">
        <f t="shared" si="1"/>
        <v>1</v>
      </c>
    </row>
    <row r="439">
      <c r="A439" s="4" t="s">
        <v>348</v>
      </c>
      <c r="B439" s="4" t="s">
        <v>711</v>
      </c>
      <c r="C439" s="4" t="s">
        <v>694</v>
      </c>
      <c r="D439" s="5">
        <v>0.6041666666666666</v>
      </c>
      <c r="E439" s="5">
        <v>0.6666666666666666</v>
      </c>
      <c r="F439" s="4" t="s">
        <v>715</v>
      </c>
      <c r="G439" s="4" t="s">
        <v>236</v>
      </c>
      <c r="H439" s="6">
        <v>25.0</v>
      </c>
      <c r="I439" s="4" t="s">
        <v>716</v>
      </c>
      <c r="J439" s="7">
        <f t="shared" si="1"/>
        <v>1</v>
      </c>
    </row>
    <row r="440">
      <c r="A440" s="4" t="s">
        <v>348</v>
      </c>
      <c r="B440" s="4" t="s">
        <v>711</v>
      </c>
      <c r="C440" s="4" t="s">
        <v>694</v>
      </c>
      <c r="D440" s="5">
        <v>0.6041666666666666</v>
      </c>
      <c r="E440" s="5">
        <v>0.6666666666666666</v>
      </c>
      <c r="F440" s="4" t="s">
        <v>717</v>
      </c>
      <c r="G440" s="4" t="s">
        <v>318</v>
      </c>
      <c r="H440" s="6">
        <v>41.0</v>
      </c>
      <c r="I440" s="4" t="s">
        <v>519</v>
      </c>
      <c r="J440" s="7">
        <f t="shared" si="1"/>
        <v>1</v>
      </c>
    </row>
    <row r="441">
      <c r="A441" s="4" t="s">
        <v>348</v>
      </c>
      <c r="B441" s="4" t="s">
        <v>711</v>
      </c>
      <c r="C441" s="4" t="s">
        <v>694</v>
      </c>
      <c r="D441" s="5">
        <v>0.6041666666666666</v>
      </c>
      <c r="E441" s="5">
        <v>0.6666666666666666</v>
      </c>
      <c r="F441" s="4" t="s">
        <v>718</v>
      </c>
      <c r="G441" s="4" t="s">
        <v>318</v>
      </c>
      <c r="H441" s="6">
        <v>39.0</v>
      </c>
      <c r="I441" s="4" t="s">
        <v>352</v>
      </c>
      <c r="J441" s="7">
        <f t="shared" si="1"/>
        <v>1</v>
      </c>
    </row>
    <row r="442">
      <c r="A442" s="4" t="s">
        <v>348</v>
      </c>
      <c r="B442" s="4" t="s">
        <v>711</v>
      </c>
      <c r="C442" s="4" t="s">
        <v>694</v>
      </c>
      <c r="D442" s="5">
        <v>0.6041666666666666</v>
      </c>
      <c r="E442" s="5">
        <v>0.6666666666666666</v>
      </c>
      <c r="F442" s="4" t="s">
        <v>719</v>
      </c>
      <c r="G442" s="4" t="s">
        <v>359</v>
      </c>
      <c r="H442" s="6">
        <v>35.0</v>
      </c>
      <c r="I442" s="4" t="s">
        <v>360</v>
      </c>
      <c r="J442" s="7">
        <f t="shared" si="1"/>
        <v>1</v>
      </c>
    </row>
    <row r="443">
      <c r="A443" s="4" t="s">
        <v>348</v>
      </c>
      <c r="B443" s="4" t="s">
        <v>711</v>
      </c>
      <c r="C443" s="4" t="s">
        <v>694</v>
      </c>
      <c r="D443" s="5">
        <v>0.6041666666666666</v>
      </c>
      <c r="E443" s="5">
        <v>0.6666666666666666</v>
      </c>
      <c r="F443" s="4" t="s">
        <v>720</v>
      </c>
      <c r="G443" s="4" t="s">
        <v>551</v>
      </c>
      <c r="H443" s="6">
        <v>41.0</v>
      </c>
      <c r="I443" s="4" t="s">
        <v>549</v>
      </c>
      <c r="J443" s="7">
        <f t="shared" si="1"/>
        <v>1</v>
      </c>
    </row>
    <row r="444">
      <c r="A444" s="4" t="s">
        <v>348</v>
      </c>
      <c r="B444" s="4" t="s">
        <v>711</v>
      </c>
      <c r="C444" s="4" t="s">
        <v>694</v>
      </c>
      <c r="D444" s="5">
        <v>0.6041666666666666</v>
      </c>
      <c r="E444" s="5">
        <v>0.6666666666666666</v>
      </c>
      <c r="F444" s="4" t="s">
        <v>721</v>
      </c>
      <c r="G444" s="4" t="s">
        <v>91</v>
      </c>
      <c r="H444" s="6">
        <v>28.0</v>
      </c>
      <c r="I444" s="4" t="s">
        <v>362</v>
      </c>
      <c r="J444" s="7">
        <f t="shared" si="1"/>
        <v>1</v>
      </c>
    </row>
    <row r="445">
      <c r="A445" s="4" t="s">
        <v>348</v>
      </c>
      <c r="B445" s="4" t="s">
        <v>722</v>
      </c>
      <c r="C445" s="4" t="s">
        <v>694</v>
      </c>
      <c r="D445" s="5">
        <v>0.7083333333333334</v>
      </c>
      <c r="E445" s="5">
        <v>0.7708333333333334</v>
      </c>
      <c r="F445" s="4" t="s">
        <v>723</v>
      </c>
      <c r="G445" s="4" t="s">
        <v>81</v>
      </c>
      <c r="H445" s="6">
        <v>41.0</v>
      </c>
      <c r="I445" s="4" t="s">
        <v>476</v>
      </c>
      <c r="J445" s="7">
        <f t="shared" si="1"/>
        <v>-1</v>
      </c>
    </row>
    <row r="446">
      <c r="A446" s="4" t="s">
        <v>348</v>
      </c>
      <c r="B446" s="4" t="s">
        <v>722</v>
      </c>
      <c r="C446" s="4" t="s">
        <v>694</v>
      </c>
      <c r="D446" s="5">
        <v>0.7083333333333334</v>
      </c>
      <c r="E446" s="5">
        <v>0.7708333333333334</v>
      </c>
      <c r="F446" s="4" t="s">
        <v>724</v>
      </c>
      <c r="G446" s="4" t="s">
        <v>445</v>
      </c>
      <c r="H446" s="6">
        <v>37.0</v>
      </c>
      <c r="I446" s="4" t="s">
        <v>725</v>
      </c>
      <c r="J446" s="7">
        <f t="shared" si="1"/>
        <v>-1</v>
      </c>
    </row>
    <row r="447">
      <c r="A447" s="4" t="s">
        <v>348</v>
      </c>
      <c r="B447" s="4" t="s">
        <v>726</v>
      </c>
      <c r="C447" s="4" t="s">
        <v>727</v>
      </c>
      <c r="D447" s="5">
        <v>0.3541666666666667</v>
      </c>
      <c r="E447" s="5">
        <v>0.4166666666666667</v>
      </c>
      <c r="F447" s="4" t="s">
        <v>728</v>
      </c>
      <c r="G447" s="4" t="s">
        <v>220</v>
      </c>
      <c r="H447" s="6">
        <v>34.0</v>
      </c>
      <c r="I447" s="4" t="s">
        <v>471</v>
      </c>
      <c r="J447" s="7">
        <f t="shared" si="1"/>
        <v>1</v>
      </c>
    </row>
    <row r="448">
      <c r="A448" s="4" t="s">
        <v>348</v>
      </c>
      <c r="B448" s="4" t="s">
        <v>726</v>
      </c>
      <c r="C448" s="4" t="s">
        <v>727</v>
      </c>
      <c r="D448" s="5">
        <v>0.3541666666666667</v>
      </c>
      <c r="E448" s="5">
        <v>0.4166666666666667</v>
      </c>
      <c r="F448" s="4" t="s">
        <v>729</v>
      </c>
      <c r="G448" s="4" t="s">
        <v>232</v>
      </c>
      <c r="H448" s="6">
        <v>36.0</v>
      </c>
      <c r="I448" s="4" t="s">
        <v>730</v>
      </c>
      <c r="J448" s="7">
        <f t="shared" si="1"/>
        <v>1</v>
      </c>
    </row>
    <row r="449">
      <c r="A449" s="4" t="s">
        <v>348</v>
      </c>
      <c r="B449" s="4" t="s">
        <v>726</v>
      </c>
      <c r="C449" s="4" t="s">
        <v>727</v>
      </c>
      <c r="D449" s="5">
        <v>0.3541666666666667</v>
      </c>
      <c r="E449" s="5">
        <v>0.4166666666666667</v>
      </c>
      <c r="F449" s="4" t="s">
        <v>731</v>
      </c>
      <c r="G449" s="4" t="s">
        <v>236</v>
      </c>
      <c r="H449" s="6">
        <v>27.0</v>
      </c>
      <c r="I449" s="4" t="s">
        <v>716</v>
      </c>
      <c r="J449" s="7">
        <f t="shared" si="1"/>
        <v>1</v>
      </c>
    </row>
    <row r="450">
      <c r="A450" s="4" t="s">
        <v>348</v>
      </c>
      <c r="B450" s="4" t="s">
        <v>726</v>
      </c>
      <c r="C450" s="4" t="s">
        <v>727</v>
      </c>
      <c r="D450" s="5">
        <v>0.3541666666666667</v>
      </c>
      <c r="E450" s="5">
        <v>0.4166666666666667</v>
      </c>
      <c r="F450" s="4" t="s">
        <v>732</v>
      </c>
      <c r="G450" s="4" t="s">
        <v>88</v>
      </c>
      <c r="H450" s="6">
        <v>40.0</v>
      </c>
      <c r="I450" s="4" t="s">
        <v>556</v>
      </c>
      <c r="J450" s="7">
        <f t="shared" si="1"/>
        <v>1</v>
      </c>
    </row>
    <row r="451">
      <c r="A451" s="4" t="s">
        <v>348</v>
      </c>
      <c r="B451" s="4" t="s">
        <v>733</v>
      </c>
      <c r="C451" s="4" t="s">
        <v>727</v>
      </c>
      <c r="D451" s="5">
        <v>0.4583333333333333</v>
      </c>
      <c r="E451" s="5">
        <v>0.5208333333333334</v>
      </c>
      <c r="F451" s="4" t="s">
        <v>734</v>
      </c>
      <c r="G451" s="4" t="s">
        <v>104</v>
      </c>
      <c r="H451" s="6">
        <v>41.0</v>
      </c>
      <c r="I451" s="4" t="s">
        <v>105</v>
      </c>
      <c r="J451" s="7">
        <f t="shared" si="1"/>
        <v>-1</v>
      </c>
    </row>
    <row r="452">
      <c r="A452" s="4" t="s">
        <v>348</v>
      </c>
      <c r="B452" s="4" t="s">
        <v>733</v>
      </c>
      <c r="C452" s="4" t="s">
        <v>727</v>
      </c>
      <c r="D452" s="5">
        <v>0.4583333333333333</v>
      </c>
      <c r="E452" s="5">
        <v>0.5208333333333334</v>
      </c>
      <c r="F452" s="4" t="s">
        <v>735</v>
      </c>
      <c r="G452" s="4" t="s">
        <v>236</v>
      </c>
      <c r="H452" s="6">
        <v>35.0</v>
      </c>
      <c r="I452" s="4" t="s">
        <v>706</v>
      </c>
      <c r="J452" s="7">
        <f t="shared" si="1"/>
        <v>-1</v>
      </c>
    </row>
    <row r="453">
      <c r="A453" s="4" t="s">
        <v>348</v>
      </c>
      <c r="B453" s="4" t="s">
        <v>733</v>
      </c>
      <c r="C453" s="4" t="s">
        <v>727</v>
      </c>
      <c r="D453" s="5">
        <v>0.4583333333333333</v>
      </c>
      <c r="E453" s="5">
        <v>0.5208333333333334</v>
      </c>
      <c r="F453" s="4" t="s">
        <v>736</v>
      </c>
      <c r="G453" s="4" t="s">
        <v>737</v>
      </c>
      <c r="H453" s="6">
        <v>18.0</v>
      </c>
      <c r="I453" s="4" t="s">
        <v>738</v>
      </c>
      <c r="J453" s="7">
        <f t="shared" si="1"/>
        <v>-1</v>
      </c>
    </row>
    <row r="454">
      <c r="A454" s="4" t="s">
        <v>348</v>
      </c>
      <c r="B454" s="4" t="s">
        <v>733</v>
      </c>
      <c r="C454" s="4" t="s">
        <v>727</v>
      </c>
      <c r="D454" s="5">
        <v>0.4583333333333333</v>
      </c>
      <c r="E454" s="5">
        <v>0.5208333333333334</v>
      </c>
      <c r="F454" s="4" t="s">
        <v>739</v>
      </c>
      <c r="G454" s="4" t="s">
        <v>258</v>
      </c>
      <c r="H454" s="6">
        <v>33.0</v>
      </c>
      <c r="I454" s="4" t="s">
        <v>740</v>
      </c>
      <c r="J454" s="7">
        <f t="shared" si="1"/>
        <v>-1</v>
      </c>
    </row>
    <row r="455">
      <c r="A455" s="4" t="s">
        <v>348</v>
      </c>
      <c r="B455" s="4" t="s">
        <v>733</v>
      </c>
      <c r="C455" s="4" t="s">
        <v>727</v>
      </c>
      <c r="D455" s="5">
        <v>0.4583333333333333</v>
      </c>
      <c r="E455" s="5">
        <v>0.5208333333333334</v>
      </c>
      <c r="F455" s="4" t="s">
        <v>741</v>
      </c>
      <c r="G455" s="4" t="s">
        <v>258</v>
      </c>
      <c r="H455" s="6">
        <v>31.0</v>
      </c>
      <c r="I455" s="4" t="s">
        <v>740</v>
      </c>
      <c r="J455" s="7">
        <f t="shared" si="1"/>
        <v>-1</v>
      </c>
    </row>
    <row r="456">
      <c r="A456" s="4" t="s">
        <v>348</v>
      </c>
      <c r="B456" s="4" t="s">
        <v>742</v>
      </c>
      <c r="C456" s="4" t="s">
        <v>727</v>
      </c>
      <c r="D456" s="5">
        <v>0.5625</v>
      </c>
      <c r="E456" s="5">
        <v>0.625</v>
      </c>
      <c r="F456" s="4" t="s">
        <v>743</v>
      </c>
      <c r="G456" s="4" t="s">
        <v>220</v>
      </c>
      <c r="H456" s="6">
        <v>39.0</v>
      </c>
      <c r="I456" s="4" t="s">
        <v>725</v>
      </c>
      <c r="J456" s="7">
        <f t="shared" si="1"/>
        <v>1</v>
      </c>
    </row>
    <row r="457">
      <c r="A457" s="4" t="s">
        <v>348</v>
      </c>
      <c r="B457" s="4" t="s">
        <v>742</v>
      </c>
      <c r="C457" s="4" t="s">
        <v>727</v>
      </c>
      <c r="D457" s="5">
        <v>0.5625</v>
      </c>
      <c r="E457" s="5">
        <v>0.625</v>
      </c>
      <c r="F457" s="4" t="s">
        <v>744</v>
      </c>
      <c r="G457" s="4" t="s">
        <v>745</v>
      </c>
      <c r="H457" s="6">
        <v>1.0</v>
      </c>
      <c r="I457" s="4" t="s">
        <v>730</v>
      </c>
      <c r="J457" s="7">
        <f t="shared" si="1"/>
        <v>1</v>
      </c>
    </row>
    <row r="458">
      <c r="A458" s="4" t="s">
        <v>348</v>
      </c>
      <c r="B458" s="4" t="s">
        <v>742</v>
      </c>
      <c r="C458" s="4" t="s">
        <v>727</v>
      </c>
      <c r="D458" s="5">
        <v>0.5625</v>
      </c>
      <c r="E458" s="5">
        <v>0.625</v>
      </c>
      <c r="F458" s="4" t="s">
        <v>746</v>
      </c>
      <c r="G458" s="4" t="s">
        <v>251</v>
      </c>
      <c r="H458" s="6">
        <v>19.0</v>
      </c>
      <c r="I458" s="4" t="s">
        <v>252</v>
      </c>
      <c r="J458" s="7">
        <f t="shared" si="1"/>
        <v>1</v>
      </c>
    </row>
    <row r="459">
      <c r="A459" s="4" t="s">
        <v>348</v>
      </c>
      <c r="B459" s="4" t="s">
        <v>742</v>
      </c>
      <c r="C459" s="4" t="s">
        <v>727</v>
      </c>
      <c r="D459" s="5">
        <v>0.5625</v>
      </c>
      <c r="E459" s="5">
        <v>0.625</v>
      </c>
      <c r="F459" s="4" t="s">
        <v>747</v>
      </c>
      <c r="G459" s="4" t="s">
        <v>315</v>
      </c>
      <c r="H459" s="6">
        <v>42.0</v>
      </c>
      <c r="I459" s="4" t="s">
        <v>316</v>
      </c>
      <c r="J459" s="7">
        <f t="shared" si="1"/>
        <v>1</v>
      </c>
    </row>
    <row r="460">
      <c r="A460" s="4" t="s">
        <v>348</v>
      </c>
      <c r="B460" s="4" t="s">
        <v>748</v>
      </c>
      <c r="C460" s="4" t="s">
        <v>727</v>
      </c>
      <c r="D460" s="5">
        <v>0.6666666666666666</v>
      </c>
      <c r="E460" s="5">
        <v>0.7291666666666666</v>
      </c>
      <c r="F460" s="4" t="s">
        <v>749</v>
      </c>
      <c r="G460" s="4" t="s">
        <v>220</v>
      </c>
      <c r="H460" s="6">
        <v>42.0</v>
      </c>
      <c r="I460" s="4" t="s">
        <v>713</v>
      </c>
      <c r="J460" s="7">
        <f t="shared" si="1"/>
        <v>-1</v>
      </c>
    </row>
    <row r="461">
      <c r="A461" s="4" t="s">
        <v>348</v>
      </c>
      <c r="B461" s="4" t="s">
        <v>748</v>
      </c>
      <c r="C461" s="4" t="s">
        <v>727</v>
      </c>
      <c r="D461" s="5">
        <v>0.6666666666666666</v>
      </c>
      <c r="E461" s="5">
        <v>0.7291666666666666</v>
      </c>
      <c r="F461" s="4" t="s">
        <v>750</v>
      </c>
      <c r="G461" s="4" t="s">
        <v>146</v>
      </c>
      <c r="H461" s="6">
        <v>42.0</v>
      </c>
      <c r="I461" s="4" t="s">
        <v>751</v>
      </c>
      <c r="J461" s="7">
        <f t="shared" si="1"/>
        <v>-1</v>
      </c>
    </row>
    <row r="462">
      <c r="A462" s="4" t="s">
        <v>348</v>
      </c>
      <c r="B462" s="4" t="s">
        <v>748</v>
      </c>
      <c r="C462" s="4" t="s">
        <v>727</v>
      </c>
      <c r="D462" s="5">
        <v>0.6666666666666666</v>
      </c>
      <c r="E462" s="5">
        <v>0.7291666666666666</v>
      </c>
      <c r="F462" s="4" t="s">
        <v>752</v>
      </c>
      <c r="G462" s="4" t="s">
        <v>146</v>
      </c>
      <c r="H462" s="6">
        <v>40.0</v>
      </c>
      <c r="I462" s="4" t="s">
        <v>751</v>
      </c>
      <c r="J462" s="7">
        <f t="shared" si="1"/>
        <v>-1</v>
      </c>
    </row>
    <row r="463">
      <c r="A463" s="4" t="s">
        <v>348</v>
      </c>
      <c r="B463" s="4" t="s">
        <v>748</v>
      </c>
      <c r="C463" s="4" t="s">
        <v>727</v>
      </c>
      <c r="D463" s="5">
        <v>0.6666666666666666</v>
      </c>
      <c r="E463" s="5">
        <v>0.7291666666666666</v>
      </c>
      <c r="F463" s="4" t="s">
        <v>753</v>
      </c>
      <c r="G463" s="4" t="s">
        <v>63</v>
      </c>
      <c r="H463" s="6">
        <v>39.0</v>
      </c>
      <c r="I463" s="4" t="s">
        <v>332</v>
      </c>
      <c r="J463" s="7">
        <f t="shared" si="1"/>
        <v>-1</v>
      </c>
    </row>
    <row r="464">
      <c r="A464" s="4" t="s">
        <v>348</v>
      </c>
      <c r="B464" s="4" t="s">
        <v>754</v>
      </c>
      <c r="C464" s="4" t="s">
        <v>727</v>
      </c>
      <c r="D464" s="5">
        <v>0.7916666666666666</v>
      </c>
      <c r="E464" s="5">
        <v>0.8541666666666666</v>
      </c>
      <c r="F464" s="4" t="s">
        <v>755</v>
      </c>
      <c r="G464" s="4" t="s">
        <v>308</v>
      </c>
      <c r="H464" s="6">
        <v>35.0</v>
      </c>
      <c r="I464" s="4" t="s">
        <v>327</v>
      </c>
      <c r="J464" s="7">
        <f t="shared" si="1"/>
        <v>1</v>
      </c>
    </row>
    <row r="465">
      <c r="A465" s="4" t="s">
        <v>348</v>
      </c>
      <c r="B465" s="4" t="s">
        <v>754</v>
      </c>
      <c r="C465" s="4" t="s">
        <v>727</v>
      </c>
      <c r="D465" s="5">
        <v>0.7916666666666666</v>
      </c>
      <c r="E465" s="5">
        <v>0.8541666666666666</v>
      </c>
      <c r="F465" s="4" t="s">
        <v>756</v>
      </c>
      <c r="G465" s="4" t="s">
        <v>146</v>
      </c>
      <c r="H465" s="6">
        <v>42.0</v>
      </c>
      <c r="I465" s="4" t="s">
        <v>751</v>
      </c>
      <c r="J465" s="7">
        <f t="shared" si="1"/>
        <v>1</v>
      </c>
    </row>
    <row r="466">
      <c r="A466" s="4" t="s">
        <v>348</v>
      </c>
      <c r="B466" s="4" t="s">
        <v>754</v>
      </c>
      <c r="C466" s="4" t="s">
        <v>727</v>
      </c>
      <c r="D466" s="5">
        <v>0.7916666666666666</v>
      </c>
      <c r="E466" s="5">
        <v>0.8541666666666666</v>
      </c>
      <c r="F466" s="4" t="s">
        <v>757</v>
      </c>
      <c r="G466" s="4" t="s">
        <v>394</v>
      </c>
      <c r="H466" s="6">
        <v>27.0</v>
      </c>
      <c r="I466" s="4" t="s">
        <v>708</v>
      </c>
      <c r="J466" s="7">
        <f t="shared" si="1"/>
        <v>1</v>
      </c>
    </row>
  </sheetData>
  <autoFilter ref="$A$1:$I$466"/>
  <conditionalFormatting sqref="A2:J466 K87:K105">
    <cfRule type="expression" dxfId="0" priority="1">
      <formula> $J2 = 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7.0"/>
    <col customWidth="1" min="3" max="3" width="8.5"/>
    <col customWidth="1" min="4" max="4" width="12.0"/>
    <col customWidth="1" min="5" max="5" width="11.25"/>
    <col customWidth="1" min="6" max="6" width="13.63"/>
    <col customWidth="1" min="7" max="7" width="42.0"/>
    <col customWidth="1" min="8" max="8" width="10.38"/>
    <col customWidth="1" min="9" max="9" width="36.38"/>
    <col customWidth="1" hidden="1" min="10" max="10" width="2.38"/>
  </cols>
  <sheetData>
    <row r="1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0"/>
    </row>
    <row r="2">
      <c r="A2" s="11" t="str">
        <f>IFERROR(__xludf.DUMMYFUNCTION(" QUERY('slot-wise'!A2:I466, ""SELECT Col1, Col2, Col3, Col4, Col5, Col6, Col7, Col8, Col9 ORDER BY Col9"")"),"C")</f>
        <v>C</v>
      </c>
      <c r="B2" s="11" t="str">
        <f>IFERROR(__xludf.DUMMYFUNCTION("""COMPUTED_VALUE"""),"Slot - 03")</f>
        <v>Slot - 03</v>
      </c>
      <c r="C2" s="11" t="str">
        <f>IFERROR(__xludf.DUMMYFUNCTION("""COMPUTED_VALUE"""),"12.04.2026")</f>
        <v>12.04.2026</v>
      </c>
      <c r="D2" s="12">
        <f>IFERROR(__xludf.DUMMYFUNCTION("""COMPUTED_VALUE"""),0.6041666666678793)</f>
        <v>0.6041666667</v>
      </c>
      <c r="E2" s="12">
        <f>IFERROR(__xludf.DUMMYFUNCTION("""COMPUTED_VALUE"""),0.6666666666678793)</f>
        <v>0.6666666667</v>
      </c>
      <c r="F2" s="11" t="str">
        <f>IFERROR(__xludf.DUMMYFUNCTION("""COMPUTED_VALUE"""),"CSE471.1")</f>
        <v>CSE471.1</v>
      </c>
      <c r="G2" s="11" t="str">
        <f>IFERROR(__xludf.DUMMYFUNCTION("""COMPUTED_VALUE"""),"Web and Internet Programming")</f>
        <v>Web and Internet Programming</v>
      </c>
      <c r="H2" s="13">
        <f>IFERROR(__xludf.DUMMYFUNCTION("""COMPUTED_VALUE"""),33.0)</f>
        <v>33</v>
      </c>
      <c r="I2" s="11" t="str">
        <f>IFERROR(__xludf.DUMMYFUNCTION("""COMPUTED_VALUE"""),"[ABAH] Abid Ahmad")</f>
        <v>[ABAH] Abid Ahmad</v>
      </c>
      <c r="J2" s="13">
        <v>1.0</v>
      </c>
    </row>
    <row r="3">
      <c r="A3" s="11" t="str">
        <f>IFERROR(__xludf.DUMMYFUNCTION("""COMPUTED_VALUE"""),"D")</f>
        <v>D</v>
      </c>
      <c r="B3" s="11" t="str">
        <f>IFERROR(__xludf.DUMMYFUNCTION("""COMPUTED_VALUE"""),"Slot - C")</f>
        <v>Slot - C</v>
      </c>
      <c r="C3" s="11" t="str">
        <f>IFERROR(__xludf.DUMMYFUNCTION("""COMPUTED_VALUE"""),"17.04.2026")</f>
        <v>17.04.2026</v>
      </c>
      <c r="D3" s="12">
        <f>IFERROR(__xludf.DUMMYFUNCTION("""COMPUTED_VALUE"""),0.6041666666678793)</f>
        <v>0.6041666667</v>
      </c>
      <c r="E3" s="12">
        <f>IFERROR(__xludf.DUMMYFUNCTION("""COMPUTED_VALUE"""),0.6666666666678793)</f>
        <v>0.6666666667</v>
      </c>
      <c r="F3" s="11" t="str">
        <f>IFERROR(__xludf.DUMMYFUNCTION("""COMPUTED_VALUE"""),"CSE471.4")</f>
        <v>CSE471.4</v>
      </c>
      <c r="G3" s="11" t="str">
        <f>IFERROR(__xludf.DUMMYFUNCTION("""COMPUTED_VALUE"""),"Web and Internet Programming")</f>
        <v>Web and Internet Programming</v>
      </c>
      <c r="H3" s="13">
        <f>IFERROR(__xludf.DUMMYFUNCTION("""COMPUTED_VALUE"""),27.0)</f>
        <v>27</v>
      </c>
      <c r="I3" s="11" t="str">
        <f>IFERROR(__xludf.DUMMYFUNCTION("""COMPUTED_VALUE"""),"[ABAH] Abid Ahmad")</f>
        <v>[ABAH] Abid Ahmad</v>
      </c>
      <c r="J3" s="13">
        <f t="shared" ref="J3:J466" si="1"> IF(I3 = I2, J2, -1 * J2)</f>
        <v>1</v>
      </c>
    </row>
    <row r="4">
      <c r="A4" s="11" t="str">
        <f>IFERROR(__xludf.DUMMYFUNCTION("""COMPUTED_VALUE"""),"C")</f>
        <v>C</v>
      </c>
      <c r="B4" s="11" t="str">
        <f>IFERROR(__xludf.DUMMYFUNCTION("""COMPUTED_VALUE"""),"Slot - 24")</f>
        <v>Slot - 24</v>
      </c>
      <c r="C4" s="11" t="str">
        <f>IFERROR(__xludf.DUMMYFUNCTION("""COMPUTED_VALUE"""),"21.04.2026")</f>
        <v>21.04.2026</v>
      </c>
      <c r="D4" s="12">
        <f>IFERROR(__xludf.DUMMYFUNCTION("""COMPUTED_VALUE"""),0.6041666666678793)</f>
        <v>0.6041666667</v>
      </c>
      <c r="E4" s="12">
        <f>IFERROR(__xludf.DUMMYFUNCTION("""COMPUTED_VALUE"""),0.6666666666678793)</f>
        <v>0.6666666667</v>
      </c>
      <c r="F4" s="11" t="str">
        <f>IFERROR(__xludf.DUMMYFUNCTION("""COMPUTED_VALUE"""),"CSE475.3")</f>
        <v>CSE475.3</v>
      </c>
      <c r="G4" s="11" t="str">
        <f>IFERROR(__xludf.DUMMYFUNCTION("""COMPUTED_VALUE"""),"Management Information System")</f>
        <v>Management Information System</v>
      </c>
      <c r="H4" s="13">
        <f>IFERROR(__xludf.DUMMYFUNCTION("""COMPUTED_VALUE"""),40.0)</f>
        <v>40</v>
      </c>
      <c r="I4" s="11" t="str">
        <f>IFERROR(__xludf.DUMMYFUNCTION("""COMPUTED_VALUE"""),"[ABAH] Abid Ahmad")</f>
        <v>[ABAH] Abid Ahmad</v>
      </c>
      <c r="J4" s="13">
        <f t="shared" si="1"/>
        <v>1</v>
      </c>
    </row>
    <row r="5">
      <c r="A5" s="11" t="str">
        <f>IFERROR(__xludf.DUMMYFUNCTION("""COMPUTED_VALUE"""),"C")</f>
        <v>C</v>
      </c>
      <c r="B5" s="11" t="str">
        <f>IFERROR(__xludf.DUMMYFUNCTION("""COMPUTED_VALUE"""),"Slot - 12")</f>
        <v>Slot - 12</v>
      </c>
      <c r="C5" s="11" t="str">
        <f>IFERROR(__xludf.DUMMYFUNCTION("""COMPUTED_VALUE"""),"16.04.2026")</f>
        <v>16.04.2026</v>
      </c>
      <c r="D5" s="12">
        <f>IFERROR(__xludf.DUMMYFUNCTION("""COMPUTED_VALUE"""),0.6041666666678793)</f>
        <v>0.6041666667</v>
      </c>
      <c r="E5" s="12">
        <f>IFERROR(__xludf.DUMMYFUNCTION("""COMPUTED_VALUE"""),0.6666666666678793)</f>
        <v>0.6666666667</v>
      </c>
      <c r="F5" s="11" t="str">
        <f>IFERROR(__xludf.DUMMYFUNCTION("""COMPUTED_VALUE"""),"EEE181.1")</f>
        <v>EEE181.1</v>
      </c>
      <c r="G5" s="11" t="str">
        <f>IFERROR(__xludf.DUMMYFUNCTION("""COMPUTED_VALUE"""),"Electrical Circuits Design I")</f>
        <v>Electrical Circuits Design I</v>
      </c>
      <c r="H5" s="13">
        <f>IFERROR(__xludf.DUMMYFUNCTION("""COMPUTED_VALUE"""),40.0)</f>
        <v>40</v>
      </c>
      <c r="I5" s="11" t="str">
        <f>IFERROR(__xludf.DUMMYFUNCTION("""COMPUTED_VALUE"""),"[ADMR] Adib Md. Ridwan")</f>
        <v>[ADMR] Adib Md. Ridwan</v>
      </c>
      <c r="J5" s="13">
        <f t="shared" si="1"/>
        <v>-1</v>
      </c>
    </row>
    <row r="6">
      <c r="A6" s="11" t="str">
        <f>IFERROR(__xludf.DUMMYFUNCTION("""COMPUTED_VALUE"""),"C")</f>
        <v>C</v>
      </c>
      <c r="B6" s="11" t="str">
        <f>IFERROR(__xludf.DUMMYFUNCTION("""COMPUTED_VALUE"""),"Slot - 12")</f>
        <v>Slot - 12</v>
      </c>
      <c r="C6" s="11" t="str">
        <f>IFERROR(__xludf.DUMMYFUNCTION("""COMPUTED_VALUE"""),"16.04.2026")</f>
        <v>16.04.2026</v>
      </c>
      <c r="D6" s="12">
        <f>IFERROR(__xludf.DUMMYFUNCTION("""COMPUTED_VALUE"""),0.6041666666678793)</f>
        <v>0.6041666667</v>
      </c>
      <c r="E6" s="12">
        <f>IFERROR(__xludf.DUMMYFUNCTION("""COMPUTED_VALUE"""),0.6666666666678793)</f>
        <v>0.6666666667</v>
      </c>
      <c r="F6" s="11" t="str">
        <f>IFERROR(__xludf.DUMMYFUNCTION("""COMPUTED_VALUE"""),"EEE181.2")</f>
        <v>EEE181.2</v>
      </c>
      <c r="G6" s="11" t="str">
        <f>IFERROR(__xludf.DUMMYFUNCTION("""COMPUTED_VALUE"""),"Electrical Circuits Design I")</f>
        <v>Electrical Circuits Design I</v>
      </c>
      <c r="H6" s="13">
        <f>IFERROR(__xludf.DUMMYFUNCTION("""COMPUTED_VALUE"""),39.0)</f>
        <v>39</v>
      </c>
      <c r="I6" s="11" t="str">
        <f>IFERROR(__xludf.DUMMYFUNCTION("""COMPUTED_VALUE"""),"[ADMR] Adib Md. Ridwan")</f>
        <v>[ADMR] Adib Md. Ridwan</v>
      </c>
      <c r="J6" s="13">
        <f t="shared" si="1"/>
        <v>-1</v>
      </c>
    </row>
    <row r="7">
      <c r="A7" s="11" t="str">
        <f>IFERROR(__xludf.DUMMYFUNCTION("""COMPUTED_VALUE"""),"C")</f>
        <v>C</v>
      </c>
      <c r="B7" s="11" t="str">
        <f>IFERROR(__xludf.DUMMYFUNCTION("""COMPUTED_VALUE"""),"Slot - 12")</f>
        <v>Slot - 12</v>
      </c>
      <c r="C7" s="11" t="str">
        <f>IFERROR(__xludf.DUMMYFUNCTION("""COMPUTED_VALUE"""),"16.04.2026")</f>
        <v>16.04.2026</v>
      </c>
      <c r="D7" s="12">
        <f>IFERROR(__xludf.DUMMYFUNCTION("""COMPUTED_VALUE"""),0.6041666666678793)</f>
        <v>0.6041666667</v>
      </c>
      <c r="E7" s="12">
        <f>IFERROR(__xludf.DUMMYFUNCTION("""COMPUTED_VALUE"""),0.6666666666678793)</f>
        <v>0.6666666667</v>
      </c>
      <c r="F7" s="11" t="str">
        <f>IFERROR(__xludf.DUMMYFUNCTION("""COMPUTED_VALUE"""),"EEE181.3")</f>
        <v>EEE181.3</v>
      </c>
      <c r="G7" s="11" t="str">
        <f>IFERROR(__xludf.DUMMYFUNCTION("""COMPUTED_VALUE"""),"Electrical Circuits Design I")</f>
        <v>Electrical Circuits Design I</v>
      </c>
      <c r="H7" s="13">
        <f>IFERROR(__xludf.DUMMYFUNCTION("""COMPUTED_VALUE"""),38.0)</f>
        <v>38</v>
      </c>
      <c r="I7" s="11" t="str">
        <f>IFERROR(__xludf.DUMMYFUNCTION("""COMPUTED_VALUE"""),"[ADMR] Adib Md. Ridwan")</f>
        <v>[ADMR] Adib Md. Ridwan</v>
      </c>
      <c r="J7" s="13">
        <f t="shared" si="1"/>
        <v>-1</v>
      </c>
    </row>
    <row r="8">
      <c r="A8" s="11" t="str">
        <f>IFERROR(__xludf.DUMMYFUNCTION("""COMPUTED_VALUE"""),"D")</f>
        <v>D</v>
      </c>
      <c r="B8" s="11" t="str">
        <f>IFERROR(__xludf.DUMMYFUNCTION("""COMPUTED_VALUE"""),"Slot - N")</f>
        <v>Slot - N</v>
      </c>
      <c r="C8" s="11" t="str">
        <f>IFERROR(__xludf.DUMMYFUNCTION("""COMPUTED_VALUE"""),"25.04.2026")</f>
        <v>25.04.2026</v>
      </c>
      <c r="D8" s="12">
        <f>IFERROR(__xludf.DUMMYFUNCTION("""COMPUTED_VALUE"""),0.6666666666678793)</f>
        <v>0.6666666667</v>
      </c>
      <c r="E8" s="12">
        <f>IFERROR(__xludf.DUMMYFUNCTION("""COMPUTED_VALUE"""),0.7291666666678793)</f>
        <v>0.7291666667</v>
      </c>
      <c r="F8" s="11" t="str">
        <f>IFERROR(__xludf.DUMMYFUNCTION("""COMPUTED_VALUE"""),"EEE181.13")</f>
        <v>EEE181.13</v>
      </c>
      <c r="G8" s="11" t="str">
        <f>IFERROR(__xludf.DUMMYFUNCTION("""COMPUTED_VALUE"""),"Electrical Circuits Design I")</f>
        <v>Electrical Circuits Design I</v>
      </c>
      <c r="H8" s="13">
        <f>IFERROR(__xludf.DUMMYFUNCTION("""COMPUTED_VALUE"""),39.0)</f>
        <v>39</v>
      </c>
      <c r="I8" s="11" t="str">
        <f>IFERROR(__xludf.DUMMYFUNCTION("""COMPUTED_VALUE"""),"[ADMR] Adib Md. Ridwan")</f>
        <v>[ADMR] Adib Md. Ridwan</v>
      </c>
      <c r="J8" s="13">
        <f t="shared" si="1"/>
        <v>-1</v>
      </c>
    </row>
    <row r="9">
      <c r="A9" s="11" t="str">
        <f>IFERROR(__xludf.DUMMYFUNCTION("""COMPUTED_VALUE"""),"C")</f>
        <v>C</v>
      </c>
      <c r="B9" s="11" t="str">
        <f>IFERROR(__xludf.DUMMYFUNCTION("""COMPUTED_VALUE"""),"Slot - 09")</f>
        <v>Slot - 09</v>
      </c>
      <c r="C9" s="11" t="str">
        <f>IFERROR(__xludf.DUMMYFUNCTION("""COMPUTED_VALUE"""),"15.04.2026")</f>
        <v>15.04.2026</v>
      </c>
      <c r="D9" s="12">
        <f>IFERROR(__xludf.DUMMYFUNCTION("""COMPUTED_VALUE"""),0.6041666666678793)</f>
        <v>0.6041666667</v>
      </c>
      <c r="E9" s="12">
        <f>IFERROR(__xludf.DUMMYFUNCTION("""COMPUTED_VALUE"""),0.6666666666678793)</f>
        <v>0.6666666667</v>
      </c>
      <c r="F9" s="11" t="str">
        <f>IFERROR(__xludf.DUMMYFUNCTION("""COMPUTED_VALUE"""),"CSE341.1")</f>
        <v>CSE341.1</v>
      </c>
      <c r="G9" s="11" t="str">
        <f>IFERROR(__xludf.DUMMYFUNCTION("""COMPUTED_VALUE"""),"Computer Networking")</f>
        <v>Computer Networking</v>
      </c>
      <c r="H9" s="13">
        <f>IFERROR(__xludf.DUMMYFUNCTION("""COMPUTED_VALUE"""),28.0)</f>
        <v>28</v>
      </c>
      <c r="I9" s="11" t="str">
        <f>IFERROR(__xludf.DUMMYFUNCTION("""COMPUTED_VALUE"""),"[AHQ] Mohammad Ashraful Hoque")</f>
        <v>[AHQ] Mohammad Ashraful Hoque</v>
      </c>
      <c r="J9" s="13">
        <f t="shared" si="1"/>
        <v>1</v>
      </c>
    </row>
    <row r="10">
      <c r="A10" s="11" t="str">
        <f>IFERROR(__xludf.DUMMYFUNCTION("""COMPUTED_VALUE"""),"C")</f>
        <v>C</v>
      </c>
      <c r="B10" s="11" t="str">
        <f>IFERROR(__xludf.DUMMYFUNCTION("""COMPUTED_VALUE"""),"Slot - 09")</f>
        <v>Slot - 09</v>
      </c>
      <c r="C10" s="11" t="str">
        <f>IFERROR(__xludf.DUMMYFUNCTION("""COMPUTED_VALUE"""),"15.04.2026")</f>
        <v>15.04.2026</v>
      </c>
      <c r="D10" s="12">
        <f>IFERROR(__xludf.DUMMYFUNCTION("""COMPUTED_VALUE"""),0.6041666666678793)</f>
        <v>0.6041666667</v>
      </c>
      <c r="E10" s="12">
        <f>IFERROR(__xludf.DUMMYFUNCTION("""COMPUTED_VALUE"""),0.6666666666678793)</f>
        <v>0.6666666667</v>
      </c>
      <c r="F10" s="11" t="str">
        <f>IFERROR(__xludf.DUMMYFUNCTION("""COMPUTED_VALUE"""),"CSE341.2")</f>
        <v>CSE341.2</v>
      </c>
      <c r="G10" s="11" t="str">
        <f>IFERROR(__xludf.DUMMYFUNCTION("""COMPUTED_VALUE"""),"Computer Networking")</f>
        <v>Computer Networking</v>
      </c>
      <c r="H10" s="13">
        <f>IFERROR(__xludf.DUMMYFUNCTION("""COMPUTED_VALUE"""),16.0)</f>
        <v>16</v>
      </c>
      <c r="I10" s="11" t="str">
        <f>IFERROR(__xludf.DUMMYFUNCTION("""COMPUTED_VALUE"""),"[AHQ] Mohammad Ashraful Hoque")</f>
        <v>[AHQ] Mohammad Ashraful Hoque</v>
      </c>
      <c r="J10" s="13">
        <f t="shared" si="1"/>
        <v>1</v>
      </c>
    </row>
    <row r="11">
      <c r="A11" s="11" t="str">
        <f>IFERROR(__xludf.DUMMYFUNCTION("""COMPUTED_VALUE"""),"D")</f>
        <v>D</v>
      </c>
      <c r="B11" s="11" t="str">
        <f>IFERROR(__xludf.DUMMYFUNCTION("""COMPUTED_VALUE"""),"Slot - F")</f>
        <v>Slot - F</v>
      </c>
      <c r="C11" s="11" t="str">
        <f>IFERROR(__xludf.DUMMYFUNCTION("""COMPUTED_VALUE"""),"18.04.2026")</f>
        <v>18.04.2026</v>
      </c>
      <c r="D11" s="12">
        <f>IFERROR(__xludf.DUMMYFUNCTION("""COMPUTED_VALUE"""),0.7916666666678793)</f>
        <v>0.7916666667</v>
      </c>
      <c r="E11" s="12">
        <f>IFERROR(__xludf.DUMMYFUNCTION("""COMPUTED_VALUE"""),0.8541666666678793)</f>
        <v>0.8541666667</v>
      </c>
      <c r="F11" s="11" t="str">
        <f>IFERROR(__xludf.DUMMYFUNCTION("""COMPUTED_VALUE"""),"CSE341.10")</f>
        <v>CSE341.10</v>
      </c>
      <c r="G11" s="11" t="str">
        <f>IFERROR(__xludf.DUMMYFUNCTION("""COMPUTED_VALUE"""),"Computer Networking")</f>
        <v>Computer Networking</v>
      </c>
      <c r="H11" s="13">
        <f>IFERROR(__xludf.DUMMYFUNCTION("""COMPUTED_VALUE"""),27.0)</f>
        <v>27</v>
      </c>
      <c r="I11" s="11" t="str">
        <f>IFERROR(__xludf.DUMMYFUNCTION("""COMPUTED_VALUE"""),"[AHQ] Mohammad Ashraful Hoque")</f>
        <v>[AHQ] Mohammad Ashraful Hoque</v>
      </c>
      <c r="J11" s="13">
        <f t="shared" si="1"/>
        <v>1</v>
      </c>
    </row>
    <row r="12">
      <c r="A12" s="11" t="str">
        <f>IFERROR(__xludf.DUMMYFUNCTION("""COMPUTED_VALUE"""),"D")</f>
        <v>D</v>
      </c>
      <c r="B12" s="11" t="str">
        <f>IFERROR(__xludf.DUMMYFUNCTION("""COMPUTED_VALUE"""),"Slot - M")</f>
        <v>Slot - M</v>
      </c>
      <c r="C12" s="11" t="str">
        <f>IFERROR(__xludf.DUMMYFUNCTION("""COMPUTED_VALUE"""),"25.04.2026")</f>
        <v>25.04.2026</v>
      </c>
      <c r="D12" s="12">
        <f>IFERROR(__xludf.DUMMYFUNCTION("""COMPUTED_VALUE"""),0.5625)</f>
        <v>0.5625</v>
      </c>
      <c r="E12" s="12">
        <f>IFERROR(__xludf.DUMMYFUNCTION("""COMPUTED_VALUE"""),0.625)</f>
        <v>0.625</v>
      </c>
      <c r="F12" s="11" t="str">
        <f>IFERROR(__xludf.DUMMYFUNCTION("""COMPUTED_VALUE"""),"CSE341.9")</f>
        <v>CSE341.9</v>
      </c>
      <c r="G12" s="11" t="str">
        <f>IFERROR(__xludf.DUMMYFUNCTION("""COMPUTED_VALUE"""),"Computer Networking")</f>
        <v>Computer Networking</v>
      </c>
      <c r="H12" s="13">
        <f>IFERROR(__xludf.DUMMYFUNCTION("""COMPUTED_VALUE"""),19.0)</f>
        <v>19</v>
      </c>
      <c r="I12" s="11" t="str">
        <f>IFERROR(__xludf.DUMMYFUNCTION("""COMPUTED_VALUE"""),"[AHQ] Mohammad Ashraful Hoque")</f>
        <v>[AHQ] Mohammad Ashraful Hoque</v>
      </c>
      <c r="J12" s="13">
        <f t="shared" si="1"/>
        <v>1</v>
      </c>
    </row>
    <row r="13">
      <c r="A13" s="11" t="str">
        <f>IFERROR(__xludf.DUMMYFUNCTION("""COMPUTED_VALUE"""),"C")</f>
        <v>C</v>
      </c>
      <c r="B13" s="11" t="str">
        <f>IFERROR(__xludf.DUMMYFUNCTION("""COMPUTED_VALUE"""),"Slot - 09")</f>
        <v>Slot - 09</v>
      </c>
      <c r="C13" s="11" t="str">
        <f>IFERROR(__xludf.DUMMYFUNCTION("""COMPUTED_VALUE"""),"15.04.2026")</f>
        <v>15.04.2026</v>
      </c>
      <c r="D13" s="12">
        <f>IFERROR(__xludf.DUMMYFUNCTION("""COMPUTED_VALUE"""),0.6041666666678793)</f>
        <v>0.6041666667</v>
      </c>
      <c r="E13" s="12">
        <f>IFERROR(__xludf.DUMMYFUNCTION("""COMPUTED_VALUE"""),0.6666666666678793)</f>
        <v>0.6666666667</v>
      </c>
      <c r="F13" s="11" t="str">
        <f>IFERROR(__xludf.DUMMYFUNCTION("""COMPUTED_VALUE"""),"PHY1103.5")</f>
        <v>PHY1103.5</v>
      </c>
      <c r="G13" s="11" t="str">
        <f>IFERROR(__xludf.DUMMYFUNCTION("""COMPUTED_VALUE"""),"Physics I")</f>
        <v>Physics I</v>
      </c>
      <c r="H13" s="13">
        <f>IFERROR(__xludf.DUMMYFUNCTION("""COMPUTED_VALUE"""),33.0)</f>
        <v>33</v>
      </c>
      <c r="I13" s="11" t="str">
        <f>IFERROR(__xludf.DUMMYFUNCTION("""COMPUTED_VALUE"""),"[AHR] Dr. Abul Hasnat Rubel")</f>
        <v>[AHR] Dr. Abul Hasnat Rubel</v>
      </c>
      <c r="J13" s="13">
        <f t="shared" si="1"/>
        <v>-1</v>
      </c>
    </row>
    <row r="14">
      <c r="A14" s="11" t="str">
        <f>IFERROR(__xludf.DUMMYFUNCTION("""COMPUTED_VALUE"""),"C")</f>
        <v>C</v>
      </c>
      <c r="B14" s="11" t="str">
        <f>IFERROR(__xludf.DUMMYFUNCTION("""COMPUTED_VALUE"""),"Slot - 09")</f>
        <v>Slot - 09</v>
      </c>
      <c r="C14" s="11" t="str">
        <f>IFERROR(__xludf.DUMMYFUNCTION("""COMPUTED_VALUE"""),"15.04.2026")</f>
        <v>15.04.2026</v>
      </c>
      <c r="D14" s="12">
        <f>IFERROR(__xludf.DUMMYFUNCTION("""COMPUTED_VALUE"""),0.6041666666678793)</f>
        <v>0.6041666667</v>
      </c>
      <c r="E14" s="12">
        <f>IFERROR(__xludf.DUMMYFUNCTION("""COMPUTED_VALUE"""),0.6666666666678793)</f>
        <v>0.6666666667</v>
      </c>
      <c r="F14" s="11" t="str">
        <f>IFERROR(__xludf.DUMMYFUNCTION("""COMPUTED_VALUE"""),"PHY1103.6")</f>
        <v>PHY1103.6</v>
      </c>
      <c r="G14" s="11" t="str">
        <f>IFERROR(__xludf.DUMMYFUNCTION("""COMPUTED_VALUE"""),"Physics I")</f>
        <v>Physics I</v>
      </c>
      <c r="H14" s="13">
        <f>IFERROR(__xludf.DUMMYFUNCTION("""COMPUTED_VALUE"""),32.0)</f>
        <v>32</v>
      </c>
      <c r="I14" s="11" t="str">
        <f>IFERROR(__xludf.DUMMYFUNCTION("""COMPUTED_VALUE"""),"[AHR] Dr. Abul Hasnat Rubel")</f>
        <v>[AHR] Dr. Abul Hasnat Rubel</v>
      </c>
      <c r="J14" s="13">
        <f t="shared" si="1"/>
        <v>-1</v>
      </c>
    </row>
    <row r="15">
      <c r="A15" s="11" t="str">
        <f>IFERROR(__xludf.DUMMYFUNCTION("""COMPUTED_VALUE"""),"D")</f>
        <v>D</v>
      </c>
      <c r="B15" s="11" t="str">
        <f>IFERROR(__xludf.DUMMYFUNCTION("""COMPUTED_VALUE"""),"Slot - A")</f>
        <v>Slot - A</v>
      </c>
      <c r="C15" s="11" t="str">
        <f>IFERROR(__xludf.DUMMYFUNCTION("""COMPUTED_VALUE"""),"17.04.2026")</f>
        <v>17.04.2026</v>
      </c>
      <c r="D15" s="12">
        <f>IFERROR(__xludf.DUMMYFUNCTION("""COMPUTED_VALUE"""),0.375)</f>
        <v>0.375</v>
      </c>
      <c r="E15" s="12">
        <f>IFERROR(__xludf.DUMMYFUNCTION("""COMPUTED_VALUE"""),0.4375)</f>
        <v>0.4375</v>
      </c>
      <c r="F15" s="11" t="str">
        <f>IFERROR(__xludf.DUMMYFUNCTION("""COMPUTED_VALUE"""),"CSE345.12")</f>
        <v>CSE345.12</v>
      </c>
      <c r="G15" s="11" t="str">
        <f>IFERROR(__xludf.DUMMYFUNCTION("""COMPUTED_VALUE"""),"Information System Design &amp; Software Engineering")</f>
        <v>Information System Design &amp; Software Engineering</v>
      </c>
      <c r="H15" s="13">
        <f>IFERROR(__xludf.DUMMYFUNCTION("""COMPUTED_VALUE"""),28.0)</f>
        <v>28</v>
      </c>
      <c r="I15" s="11" t="str">
        <f>IFERROR(__xludf.DUMMYFUNCTION("""COMPUTED_VALUE"""),"[AHS] Ashek Seum")</f>
        <v>[AHS] Ashek Seum</v>
      </c>
      <c r="J15" s="13">
        <f t="shared" si="1"/>
        <v>1</v>
      </c>
    </row>
    <row r="16">
      <c r="A16" s="11" t="str">
        <f>IFERROR(__xludf.DUMMYFUNCTION("""COMPUTED_VALUE"""),"D")</f>
        <v>D</v>
      </c>
      <c r="B16" s="11" t="str">
        <f>IFERROR(__xludf.DUMMYFUNCTION("""COMPUTED_VALUE"""),"Slot - I")</f>
        <v>Slot - I</v>
      </c>
      <c r="C16" s="11" t="str">
        <f>IFERROR(__xludf.DUMMYFUNCTION("""COMPUTED_VALUE"""),"24.04.2026")</f>
        <v>24.04.2026</v>
      </c>
      <c r="D16" s="12">
        <f>IFERROR(__xludf.DUMMYFUNCTION("""COMPUTED_VALUE"""),0.6041666666678793)</f>
        <v>0.6041666667</v>
      </c>
      <c r="E16" s="12">
        <f>IFERROR(__xludf.DUMMYFUNCTION("""COMPUTED_VALUE"""),0.6666666666678793)</f>
        <v>0.6666666667</v>
      </c>
      <c r="F16" s="11" t="str">
        <f>IFERROR(__xludf.DUMMYFUNCTION("""COMPUTED_VALUE"""),"CSE345.11")</f>
        <v>CSE345.11</v>
      </c>
      <c r="G16" s="11" t="str">
        <f>IFERROR(__xludf.DUMMYFUNCTION("""COMPUTED_VALUE"""),"Information System Design &amp; Software Engineering")</f>
        <v>Information System Design &amp; Software Engineering</v>
      </c>
      <c r="H16" s="13">
        <f>IFERROR(__xludf.DUMMYFUNCTION("""COMPUTED_VALUE"""),38.0)</f>
        <v>38</v>
      </c>
      <c r="I16" s="11" t="str">
        <f>IFERROR(__xludf.DUMMYFUNCTION("""COMPUTED_VALUE"""),"[AHS] Ashek Seum")</f>
        <v>[AHS] Ashek Seum</v>
      </c>
      <c r="J16" s="13">
        <f t="shared" si="1"/>
        <v>1</v>
      </c>
    </row>
    <row r="17">
      <c r="A17" s="11" t="str">
        <f>IFERROR(__xludf.DUMMYFUNCTION("""COMPUTED_VALUE"""),"D")</f>
        <v>D</v>
      </c>
      <c r="B17" s="11" t="str">
        <f>IFERROR(__xludf.DUMMYFUNCTION("""COMPUTED_VALUE"""),"Slot - E")</f>
        <v>Slot - E</v>
      </c>
      <c r="C17" s="11" t="str">
        <f>IFERROR(__xludf.DUMMYFUNCTION("""COMPUTED_VALUE"""),"18.04.2026")</f>
        <v>18.04.2026</v>
      </c>
      <c r="D17" s="12">
        <f>IFERROR(__xludf.DUMMYFUNCTION("""COMPUTED_VALUE"""),0.6666666666678793)</f>
        <v>0.6666666667</v>
      </c>
      <c r="E17" s="12">
        <f>IFERROR(__xludf.DUMMYFUNCTION("""COMPUTED_VALUE"""),0.7291666666678793)</f>
        <v>0.7291666667</v>
      </c>
      <c r="F17" s="11" t="str">
        <f>IFERROR(__xludf.DUMMYFUNCTION("""COMPUTED_VALUE"""),"CSE475.6")</f>
        <v>CSE475.6</v>
      </c>
      <c r="G17" s="11" t="str">
        <f>IFERROR(__xludf.DUMMYFUNCTION("""COMPUTED_VALUE"""),"Management Information System")</f>
        <v>Management Information System</v>
      </c>
      <c r="H17" s="13">
        <f>IFERROR(__xludf.DUMMYFUNCTION("""COMPUTED_VALUE"""),40.0)</f>
        <v>40</v>
      </c>
      <c r="I17" s="11" t="str">
        <f>IFERROR(__xludf.DUMMYFUNCTION("""COMPUTED_VALUE"""),"[AKMA] A. K. M. Ahsanul Haque")</f>
        <v>[AKMA] A. K. M. Ahsanul Haque</v>
      </c>
      <c r="J17" s="13">
        <f t="shared" si="1"/>
        <v>-1</v>
      </c>
    </row>
    <row r="18">
      <c r="A18" s="11" t="str">
        <f>IFERROR(__xludf.DUMMYFUNCTION("""COMPUTED_VALUE"""),"D")</f>
        <v>D</v>
      </c>
      <c r="B18" s="11" t="str">
        <f>IFERROR(__xludf.DUMMYFUNCTION("""COMPUTED_VALUE"""),"Slot - J")</f>
        <v>Slot - J</v>
      </c>
      <c r="C18" s="11" t="str">
        <f>IFERROR(__xludf.DUMMYFUNCTION("""COMPUTED_VALUE"""),"24.04.2026")</f>
        <v>24.04.2026</v>
      </c>
      <c r="D18" s="12">
        <f>IFERROR(__xludf.DUMMYFUNCTION("""COMPUTED_VALUE"""),0.7083333333321207)</f>
        <v>0.7083333333</v>
      </c>
      <c r="E18" s="12">
        <f>IFERROR(__xludf.DUMMYFUNCTION("""COMPUTED_VALUE"""),0.7708333333321207)</f>
        <v>0.7708333333</v>
      </c>
      <c r="F18" s="11" t="str">
        <f>IFERROR(__xludf.DUMMYFUNCTION("""COMPUTED_VALUE"""),"CSE475.7")</f>
        <v>CSE475.7</v>
      </c>
      <c r="G18" s="11" t="str">
        <f>IFERROR(__xludf.DUMMYFUNCTION("""COMPUTED_VALUE"""),"Management Information System")</f>
        <v>Management Information System</v>
      </c>
      <c r="H18" s="13">
        <f>IFERROR(__xludf.DUMMYFUNCTION("""COMPUTED_VALUE"""),41.0)</f>
        <v>41</v>
      </c>
      <c r="I18" s="11" t="str">
        <f>IFERROR(__xludf.DUMMYFUNCTION("""COMPUTED_VALUE"""),"[AKMA] A. K. M. Ahsanul Haque")</f>
        <v>[AKMA] A. K. M. Ahsanul Haque</v>
      </c>
      <c r="J18" s="13">
        <f t="shared" si="1"/>
        <v>-1</v>
      </c>
    </row>
    <row r="19">
      <c r="A19" s="11" t="str">
        <f>IFERROR(__xludf.DUMMYFUNCTION("""COMPUTED_VALUE"""),"C")</f>
        <v>C</v>
      </c>
      <c r="B19" s="11" t="str">
        <f>IFERROR(__xludf.DUMMYFUNCTION("""COMPUTED_VALUE"""),"Slot - 06")</f>
        <v>Slot - 06</v>
      </c>
      <c r="C19" s="11" t="str">
        <f>IFERROR(__xludf.DUMMYFUNCTION("""COMPUTED_VALUE"""),"13.04.2026")</f>
        <v>13.04.2026</v>
      </c>
      <c r="D19" s="12">
        <f>IFERROR(__xludf.DUMMYFUNCTION("""COMPUTED_VALUE"""),0.6041666666678793)</f>
        <v>0.6041666667</v>
      </c>
      <c r="E19" s="12">
        <f>IFERROR(__xludf.DUMMYFUNCTION("""COMPUTED_VALUE"""),0.6666666666678793)</f>
        <v>0.6666666667</v>
      </c>
      <c r="F19" s="11" t="str">
        <f>IFERROR(__xludf.DUMMYFUNCTION("""COMPUTED_VALUE"""),"CSE265.9")</f>
        <v>CSE265.9</v>
      </c>
      <c r="G19" s="11" t="str">
        <f>IFERROR(__xludf.DUMMYFUNCTION("""COMPUTED_VALUE"""),"Algorithm")</f>
        <v>Algorithm</v>
      </c>
      <c r="H19" s="13">
        <f>IFERROR(__xludf.DUMMYFUNCTION("""COMPUTED_VALUE"""),38.0)</f>
        <v>38</v>
      </c>
      <c r="I19" s="11" t="str">
        <f>IFERROR(__xludf.DUMMYFUNCTION("""COMPUTED_VALUE"""),"[AMH] Md. Asiful Islam Miah")</f>
        <v>[AMH] Md. Asiful Islam Miah</v>
      </c>
      <c r="J19" s="13">
        <f t="shared" si="1"/>
        <v>1</v>
      </c>
    </row>
    <row r="20">
      <c r="A20" s="11" t="str">
        <f>IFERROR(__xludf.DUMMYFUNCTION("""COMPUTED_VALUE"""),"C")</f>
        <v>C</v>
      </c>
      <c r="B20" s="11" t="str">
        <f>IFERROR(__xludf.DUMMYFUNCTION("""COMPUTED_VALUE"""),"Slot - 21")</f>
        <v>Slot - 21</v>
      </c>
      <c r="C20" s="11" t="str">
        <f>IFERROR(__xludf.DUMMYFUNCTION("""COMPUTED_VALUE"""),"20.04.2026")</f>
        <v>20.04.2026</v>
      </c>
      <c r="D20" s="12">
        <f>IFERROR(__xludf.DUMMYFUNCTION("""COMPUTED_VALUE"""),0.6041666666678793)</f>
        <v>0.6041666667</v>
      </c>
      <c r="E20" s="12">
        <f>IFERROR(__xludf.DUMMYFUNCTION("""COMPUTED_VALUE"""),0.6666666666678793)</f>
        <v>0.6666666667</v>
      </c>
      <c r="F20" s="11" t="str">
        <f>IFERROR(__xludf.DUMMYFUNCTION("""COMPUTED_VALUE"""),"CSE181.7")</f>
        <v>CSE181.7</v>
      </c>
      <c r="G20" s="11" t="str">
        <f>IFERROR(__xludf.DUMMYFUNCTION("""COMPUTED_VALUE"""),"Discrete Mathematics")</f>
        <v>Discrete Mathematics</v>
      </c>
      <c r="H20" s="13">
        <f>IFERROR(__xludf.DUMMYFUNCTION("""COMPUTED_VALUE"""),39.0)</f>
        <v>39</v>
      </c>
      <c r="I20" s="11" t="str">
        <f>IFERROR(__xludf.DUMMYFUNCTION("""COMPUTED_VALUE"""),"[AMH] Md. Asiful Islam Miah")</f>
        <v>[AMH] Md. Asiful Islam Miah</v>
      </c>
      <c r="J20" s="13">
        <f t="shared" si="1"/>
        <v>1</v>
      </c>
    </row>
    <row r="21">
      <c r="A21" s="11" t="str">
        <f>IFERROR(__xludf.DUMMYFUNCTION("""COMPUTED_VALUE"""),"C")</f>
        <v>C</v>
      </c>
      <c r="B21" s="11" t="str">
        <f>IFERROR(__xludf.DUMMYFUNCTION("""COMPUTED_VALUE"""),"Slot - 21")</f>
        <v>Slot - 21</v>
      </c>
      <c r="C21" s="11" t="str">
        <f>IFERROR(__xludf.DUMMYFUNCTION("""COMPUTED_VALUE"""),"20.04.2026")</f>
        <v>20.04.2026</v>
      </c>
      <c r="D21" s="12">
        <f>IFERROR(__xludf.DUMMYFUNCTION("""COMPUTED_VALUE"""),0.6041666666678793)</f>
        <v>0.6041666667</v>
      </c>
      <c r="E21" s="12">
        <f>IFERROR(__xludf.DUMMYFUNCTION("""COMPUTED_VALUE"""),0.6666666666678793)</f>
        <v>0.6666666667</v>
      </c>
      <c r="F21" s="11" t="str">
        <f>IFERROR(__xludf.DUMMYFUNCTION("""COMPUTED_VALUE"""),"CSE181.8")</f>
        <v>CSE181.8</v>
      </c>
      <c r="G21" s="11" t="str">
        <f>IFERROR(__xludf.DUMMYFUNCTION("""COMPUTED_VALUE"""),"Discrete Mathematics")</f>
        <v>Discrete Mathematics</v>
      </c>
      <c r="H21" s="13">
        <f>IFERROR(__xludf.DUMMYFUNCTION("""COMPUTED_VALUE"""),40.0)</f>
        <v>40</v>
      </c>
      <c r="I21" s="11" t="str">
        <f>IFERROR(__xludf.DUMMYFUNCTION("""COMPUTED_VALUE"""),"[AMH] Md. Asiful Islam Miah")</f>
        <v>[AMH] Md. Asiful Islam Miah</v>
      </c>
      <c r="J21" s="13">
        <f t="shared" si="1"/>
        <v>1</v>
      </c>
    </row>
    <row r="22">
      <c r="A22" s="11" t="str">
        <f>IFERROR(__xludf.DUMMYFUNCTION("""COMPUTED_VALUE"""),"C")</f>
        <v>C</v>
      </c>
      <c r="B22" s="11" t="str">
        <f>IFERROR(__xludf.DUMMYFUNCTION("""COMPUTED_VALUE"""),"Slot - 21")</f>
        <v>Slot - 21</v>
      </c>
      <c r="C22" s="11" t="str">
        <f>IFERROR(__xludf.DUMMYFUNCTION("""COMPUTED_VALUE"""),"20.04.2026")</f>
        <v>20.04.2026</v>
      </c>
      <c r="D22" s="12">
        <f>IFERROR(__xludf.DUMMYFUNCTION("""COMPUTED_VALUE"""),0.6041666666678793)</f>
        <v>0.6041666667</v>
      </c>
      <c r="E22" s="12">
        <f>IFERROR(__xludf.DUMMYFUNCTION("""COMPUTED_VALUE"""),0.6666666666678793)</f>
        <v>0.6666666667</v>
      </c>
      <c r="F22" s="11" t="str">
        <f>IFERROR(__xludf.DUMMYFUNCTION("""COMPUTED_VALUE"""),"CSE181.9")</f>
        <v>CSE181.9</v>
      </c>
      <c r="G22" s="11" t="str">
        <f>IFERROR(__xludf.DUMMYFUNCTION("""COMPUTED_VALUE"""),"Discrete Mathematics")</f>
        <v>Discrete Mathematics</v>
      </c>
      <c r="H22" s="13">
        <f>IFERROR(__xludf.DUMMYFUNCTION("""COMPUTED_VALUE"""),39.0)</f>
        <v>39</v>
      </c>
      <c r="I22" s="11" t="str">
        <f>IFERROR(__xludf.DUMMYFUNCTION("""COMPUTED_VALUE"""),"[AMH] Md. Asiful Islam Miah")</f>
        <v>[AMH] Md. Asiful Islam Miah</v>
      </c>
      <c r="J22" s="13">
        <f t="shared" si="1"/>
        <v>1</v>
      </c>
    </row>
    <row r="23">
      <c r="A23" s="11" t="str">
        <f>IFERROR(__xludf.DUMMYFUNCTION("""COMPUTED_VALUE"""),"D")</f>
        <v>D</v>
      </c>
      <c r="B23" s="11" t="str">
        <f>IFERROR(__xludf.DUMMYFUNCTION("""COMPUTED_VALUE"""),"Slot - E")</f>
        <v>Slot - E</v>
      </c>
      <c r="C23" s="11" t="str">
        <f>IFERROR(__xludf.DUMMYFUNCTION("""COMPUTED_VALUE"""),"18.04.2026")</f>
        <v>18.04.2026</v>
      </c>
      <c r="D23" s="12">
        <f>IFERROR(__xludf.DUMMYFUNCTION("""COMPUTED_VALUE"""),0.6666666666678793)</f>
        <v>0.6666666667</v>
      </c>
      <c r="E23" s="12">
        <f>IFERROR(__xludf.DUMMYFUNCTION("""COMPUTED_VALUE"""),0.7291666666678793)</f>
        <v>0.7291666667</v>
      </c>
      <c r="F23" s="11" t="str">
        <f>IFERROR(__xludf.DUMMYFUNCTION("""COMPUTED_VALUE"""),"CSE441.7")</f>
        <v>CSE441.7</v>
      </c>
      <c r="G23" s="11" t="str">
        <f>IFERROR(__xludf.DUMMYFUNCTION("""COMPUTED_VALUE"""),"Theory of Computing")</f>
        <v>Theory of Computing</v>
      </c>
      <c r="H23" s="13">
        <f>IFERROR(__xludf.DUMMYFUNCTION("""COMPUTED_VALUE"""),37.0)</f>
        <v>37</v>
      </c>
      <c r="I23" s="11" t="str">
        <f>IFERROR(__xludf.DUMMYFUNCTION("""COMPUTED_VALUE"""),"[AMR] Md. Aminur Rahman")</f>
        <v>[AMR] Md. Aminur Rahman</v>
      </c>
      <c r="J23" s="13">
        <f t="shared" si="1"/>
        <v>-1</v>
      </c>
    </row>
    <row r="24">
      <c r="A24" s="11" t="str">
        <f>IFERROR(__xludf.DUMMYFUNCTION("""COMPUTED_VALUE"""),"D")</f>
        <v>D</v>
      </c>
      <c r="B24" s="11" t="str">
        <f>IFERROR(__xludf.DUMMYFUNCTION("""COMPUTED_VALUE"""),"Slot - K")</f>
        <v>Slot - K</v>
      </c>
      <c r="C24" s="11" t="str">
        <f>IFERROR(__xludf.DUMMYFUNCTION("""COMPUTED_VALUE"""),"25.04.2026")</f>
        <v>25.04.2026</v>
      </c>
      <c r="D24" s="12">
        <f>IFERROR(__xludf.DUMMYFUNCTION("""COMPUTED_VALUE"""),0.3541666666678793)</f>
        <v>0.3541666667</v>
      </c>
      <c r="E24" s="12">
        <f>IFERROR(__xludf.DUMMYFUNCTION("""COMPUTED_VALUE"""),0.4166666666678793)</f>
        <v>0.4166666667</v>
      </c>
      <c r="F24" s="11" t="str">
        <f>IFERROR(__xludf.DUMMYFUNCTION("""COMPUTED_VALUE"""),"CSE261.15")</f>
        <v>CSE261.15</v>
      </c>
      <c r="G24" s="11" t="str">
        <f>IFERROR(__xludf.DUMMYFUNCTION("""COMPUTED_VALUE"""),"Numerical Methods")</f>
        <v>Numerical Methods</v>
      </c>
      <c r="H24" s="13">
        <f>IFERROR(__xludf.DUMMYFUNCTION("""COMPUTED_VALUE"""),34.0)</f>
        <v>34</v>
      </c>
      <c r="I24" s="11" t="str">
        <f>IFERROR(__xludf.DUMMYFUNCTION("""COMPUTED_VALUE"""),"[AMR] Md. Aminur Rahman")</f>
        <v>[AMR] Md. Aminur Rahman</v>
      </c>
      <c r="J24" s="13">
        <f t="shared" si="1"/>
        <v>-1</v>
      </c>
    </row>
    <row r="25">
      <c r="A25" s="11" t="str">
        <f>IFERROR(__xludf.DUMMYFUNCTION("""COMPUTED_VALUE"""),"C")</f>
        <v>C</v>
      </c>
      <c r="B25" s="11" t="str">
        <f>IFERROR(__xludf.DUMMYFUNCTION("""COMPUTED_VALUE"""),"Slot - 22")</f>
        <v>Slot - 22</v>
      </c>
      <c r="C25" s="11" t="str">
        <f>IFERROR(__xludf.DUMMYFUNCTION("""COMPUTED_VALUE"""),"21.04.2026")</f>
        <v>21.04.2026</v>
      </c>
      <c r="D25" s="12">
        <f>IFERROR(__xludf.DUMMYFUNCTION("""COMPUTED_VALUE"""),0.3541666666678793)</f>
        <v>0.3541666667</v>
      </c>
      <c r="E25" s="12">
        <f>IFERROR(__xludf.DUMMYFUNCTION("""COMPUTED_VALUE"""),0.4166666666678793)</f>
        <v>0.4166666667</v>
      </c>
      <c r="F25" s="11" t="str">
        <f>IFERROR(__xludf.DUMMYFUNCTION("""COMPUTED_VALUE"""),"CSE363.12")</f>
        <v>CSE363.12</v>
      </c>
      <c r="G25" s="11" t="str">
        <f>IFERROR(__xludf.DUMMYFUNCTION("""COMPUTED_VALUE"""),"Microprocessor Design &amp; Assembly Language Programming")</f>
        <v>Microprocessor Design &amp; Assembly Language Programming</v>
      </c>
      <c r="H25" s="13">
        <f>IFERROR(__xludf.DUMMYFUNCTION("""COMPUTED_VALUE"""),33.0)</f>
        <v>33</v>
      </c>
      <c r="I25" s="11" t="str">
        <f>IFERROR(__xludf.DUMMYFUNCTION("""COMPUTED_VALUE"""),"[AMS] Adnan Amin Siddiquee")</f>
        <v>[AMS] Adnan Amin Siddiquee</v>
      </c>
      <c r="J25" s="13">
        <f t="shared" si="1"/>
        <v>1</v>
      </c>
    </row>
    <row r="26">
      <c r="A26" s="11" t="str">
        <f>IFERROR(__xludf.DUMMYFUNCTION("""COMPUTED_VALUE"""),"C")</f>
        <v>C</v>
      </c>
      <c r="B26" s="11" t="str">
        <f>IFERROR(__xludf.DUMMYFUNCTION("""COMPUTED_VALUE"""),"Slot - 22")</f>
        <v>Slot - 22</v>
      </c>
      <c r="C26" s="11" t="str">
        <f>IFERROR(__xludf.DUMMYFUNCTION("""COMPUTED_VALUE"""),"21.04.2026")</f>
        <v>21.04.2026</v>
      </c>
      <c r="D26" s="12">
        <f>IFERROR(__xludf.DUMMYFUNCTION("""COMPUTED_VALUE"""),0.3541666666678793)</f>
        <v>0.3541666667</v>
      </c>
      <c r="E26" s="12">
        <f>IFERROR(__xludf.DUMMYFUNCTION("""COMPUTED_VALUE"""),0.4166666666678793)</f>
        <v>0.4166666667</v>
      </c>
      <c r="F26" s="11" t="str">
        <f>IFERROR(__xludf.DUMMYFUNCTION("""COMPUTED_VALUE"""),"CSE363.13")</f>
        <v>CSE363.13</v>
      </c>
      <c r="G26" s="11" t="str">
        <f>IFERROR(__xludf.DUMMYFUNCTION("""COMPUTED_VALUE"""),"Microprocessor Design &amp; Assembly Language Programming")</f>
        <v>Microprocessor Design &amp; Assembly Language Programming</v>
      </c>
      <c r="H26" s="13">
        <f>IFERROR(__xludf.DUMMYFUNCTION("""COMPUTED_VALUE"""),38.0)</f>
        <v>38</v>
      </c>
      <c r="I26" s="11" t="str">
        <f>IFERROR(__xludf.DUMMYFUNCTION("""COMPUTED_VALUE"""),"[AMS] Adnan Amin Siddiquee")</f>
        <v>[AMS] Adnan Amin Siddiquee</v>
      </c>
      <c r="J26" s="13">
        <f t="shared" si="1"/>
        <v>1</v>
      </c>
    </row>
    <row r="27">
      <c r="A27" s="11" t="str">
        <f>IFERROR(__xludf.DUMMYFUNCTION("""COMPUTED_VALUE"""),"C")</f>
        <v>C</v>
      </c>
      <c r="B27" s="11" t="str">
        <f>IFERROR(__xludf.DUMMYFUNCTION("""COMPUTED_VALUE"""),"Slot - 23")</f>
        <v>Slot - 23</v>
      </c>
      <c r="C27" s="11" t="str">
        <f>IFERROR(__xludf.DUMMYFUNCTION("""COMPUTED_VALUE"""),"21.04.2026")</f>
        <v>21.04.2026</v>
      </c>
      <c r="D27" s="12">
        <f>IFERROR(__xludf.DUMMYFUNCTION("""COMPUTED_VALUE"""),0.4791666666678793)</f>
        <v>0.4791666667</v>
      </c>
      <c r="E27" s="12">
        <f>IFERROR(__xludf.DUMMYFUNCTION("""COMPUTED_VALUE"""),0.5416666666678793)</f>
        <v>0.5416666667</v>
      </c>
      <c r="F27" s="11" t="str">
        <f>IFERROR(__xludf.DUMMYFUNCTION("""COMPUTED_VALUE"""),"CSE359.7")</f>
        <v>CSE359.7</v>
      </c>
      <c r="G27" s="11" t="str">
        <f>IFERROR(__xludf.DUMMYFUNCTION("""COMPUTED_VALUE"""),"Graph Theory")</f>
        <v>Graph Theory</v>
      </c>
      <c r="H27" s="13">
        <f>IFERROR(__xludf.DUMMYFUNCTION("""COMPUTED_VALUE"""),41.0)</f>
        <v>41</v>
      </c>
      <c r="I27" s="11" t="str">
        <f>IFERROR(__xludf.DUMMYFUNCTION("""COMPUTED_VALUE"""),"[ANAR] Anika Rahman")</f>
        <v>[ANAR] Anika Rahman</v>
      </c>
      <c r="J27" s="13">
        <f t="shared" si="1"/>
        <v>-1</v>
      </c>
    </row>
    <row r="28">
      <c r="A28" s="11" t="str">
        <f>IFERROR(__xludf.DUMMYFUNCTION("""COMPUTED_VALUE"""),"C")</f>
        <v>C</v>
      </c>
      <c r="B28" s="11" t="str">
        <f>IFERROR(__xludf.DUMMYFUNCTION("""COMPUTED_VALUE"""),"Slot - 23")</f>
        <v>Slot - 23</v>
      </c>
      <c r="C28" s="11" t="str">
        <f>IFERROR(__xludf.DUMMYFUNCTION("""COMPUTED_VALUE"""),"21.04.2026")</f>
        <v>21.04.2026</v>
      </c>
      <c r="D28" s="12">
        <f>IFERROR(__xludf.DUMMYFUNCTION("""COMPUTED_VALUE"""),0.4791666666678793)</f>
        <v>0.4791666667</v>
      </c>
      <c r="E28" s="12">
        <f>IFERROR(__xludf.DUMMYFUNCTION("""COMPUTED_VALUE"""),0.5416666666678793)</f>
        <v>0.5416666667</v>
      </c>
      <c r="F28" s="11" t="str">
        <f>IFERROR(__xludf.DUMMYFUNCTION("""COMPUTED_VALUE"""),"CSE359.8")</f>
        <v>CSE359.8</v>
      </c>
      <c r="G28" s="11" t="str">
        <f>IFERROR(__xludf.DUMMYFUNCTION("""COMPUTED_VALUE"""),"Graph Theory")</f>
        <v>Graph Theory</v>
      </c>
      <c r="H28" s="13">
        <f>IFERROR(__xludf.DUMMYFUNCTION("""COMPUTED_VALUE"""),41.0)</f>
        <v>41</v>
      </c>
      <c r="I28" s="11" t="str">
        <f>IFERROR(__xludf.DUMMYFUNCTION("""COMPUTED_VALUE"""),"[ANAR] Anika Rahman")</f>
        <v>[ANAR] Anika Rahman</v>
      </c>
      <c r="J28" s="13">
        <f t="shared" si="1"/>
        <v>-1</v>
      </c>
    </row>
    <row r="29">
      <c r="A29" s="11" t="str">
        <f>IFERROR(__xludf.DUMMYFUNCTION("""COMPUTED_VALUE"""),"C")</f>
        <v>C</v>
      </c>
      <c r="B29" s="11" t="str">
        <f>IFERROR(__xludf.DUMMYFUNCTION("""COMPUTED_VALUE"""),"Slot - 23")</f>
        <v>Slot - 23</v>
      </c>
      <c r="C29" s="11" t="str">
        <f>IFERROR(__xludf.DUMMYFUNCTION("""COMPUTED_VALUE"""),"21.04.2026")</f>
        <v>21.04.2026</v>
      </c>
      <c r="D29" s="12">
        <f>IFERROR(__xludf.DUMMYFUNCTION("""COMPUTED_VALUE"""),0.4791666666678793)</f>
        <v>0.4791666667</v>
      </c>
      <c r="E29" s="12">
        <f>IFERROR(__xludf.DUMMYFUNCTION("""COMPUTED_VALUE"""),0.5416666666678793)</f>
        <v>0.5416666667</v>
      </c>
      <c r="F29" s="11" t="str">
        <f>IFERROR(__xludf.DUMMYFUNCTION("""COMPUTED_VALUE"""),"CSE359.11")</f>
        <v>CSE359.11</v>
      </c>
      <c r="G29" s="11" t="str">
        <f>IFERROR(__xludf.DUMMYFUNCTION("""COMPUTED_VALUE"""),"Graph Theory")</f>
        <v>Graph Theory</v>
      </c>
      <c r="H29" s="13">
        <f>IFERROR(__xludf.DUMMYFUNCTION("""COMPUTED_VALUE"""),41.0)</f>
        <v>41</v>
      </c>
      <c r="I29" s="11" t="str">
        <f>IFERROR(__xludf.DUMMYFUNCTION("""COMPUTED_VALUE"""),"[ANAR] Anika Rahman")</f>
        <v>[ANAR] Anika Rahman</v>
      </c>
      <c r="J29" s="13">
        <f t="shared" si="1"/>
        <v>-1</v>
      </c>
    </row>
    <row r="30">
      <c r="A30" s="11" t="str">
        <f>IFERROR(__xludf.DUMMYFUNCTION("""COMPUTED_VALUE"""),"C")</f>
        <v>C</v>
      </c>
      <c r="B30" s="11" t="str">
        <f>IFERROR(__xludf.DUMMYFUNCTION("""COMPUTED_VALUE"""),"Slot - 02")</f>
        <v>Slot - 02</v>
      </c>
      <c r="C30" s="11" t="str">
        <f>IFERROR(__xludf.DUMMYFUNCTION("""COMPUTED_VALUE"""),"12.04.2026")</f>
        <v>12.04.2026</v>
      </c>
      <c r="D30" s="12">
        <f>IFERROR(__xludf.DUMMYFUNCTION("""COMPUTED_VALUE"""),0.4791666666678793)</f>
        <v>0.4791666667</v>
      </c>
      <c r="E30" s="12">
        <f>IFERROR(__xludf.DUMMYFUNCTION("""COMPUTED_VALUE"""),0.5416666666678793)</f>
        <v>0.5416666667</v>
      </c>
      <c r="F30" s="11" t="str">
        <f>IFERROR(__xludf.DUMMYFUNCTION("""COMPUTED_VALUE"""),"CSE345.5")</f>
        <v>CSE345.5</v>
      </c>
      <c r="G30" s="11" t="str">
        <f>IFERROR(__xludf.DUMMYFUNCTION("""COMPUTED_VALUE"""),"Information System Design &amp; Software Engineering")</f>
        <v>Information System Design &amp; Software Engineering</v>
      </c>
      <c r="H30" s="13">
        <f>IFERROR(__xludf.DUMMYFUNCTION("""COMPUTED_VALUE"""),40.0)</f>
        <v>40</v>
      </c>
      <c r="I30" s="11" t="str">
        <f>IFERROR(__xludf.DUMMYFUNCTION("""COMPUTED_VALUE"""),"[ANMM] A N M Zahid Hossain Milkan")</f>
        <v>[ANMM] A N M Zahid Hossain Milkan</v>
      </c>
      <c r="J30" s="13">
        <f t="shared" si="1"/>
        <v>1</v>
      </c>
    </row>
    <row r="31">
      <c r="A31" s="11" t="str">
        <f>IFERROR(__xludf.DUMMYFUNCTION("""COMPUTED_VALUE"""),"C")</f>
        <v>C</v>
      </c>
      <c r="B31" s="11" t="str">
        <f>IFERROR(__xludf.DUMMYFUNCTION("""COMPUTED_VALUE"""),"Slot - 02")</f>
        <v>Slot - 02</v>
      </c>
      <c r="C31" s="11" t="str">
        <f>IFERROR(__xludf.DUMMYFUNCTION("""COMPUTED_VALUE"""),"12.04.2026")</f>
        <v>12.04.2026</v>
      </c>
      <c r="D31" s="12">
        <f>IFERROR(__xludf.DUMMYFUNCTION("""COMPUTED_VALUE"""),0.4791666666678793)</f>
        <v>0.4791666667</v>
      </c>
      <c r="E31" s="12">
        <f>IFERROR(__xludf.DUMMYFUNCTION("""COMPUTED_VALUE"""),0.5416666666678793)</f>
        <v>0.5416666667</v>
      </c>
      <c r="F31" s="11" t="str">
        <f>IFERROR(__xludf.DUMMYFUNCTION("""COMPUTED_VALUE"""),"CSE345.6")</f>
        <v>CSE345.6</v>
      </c>
      <c r="G31" s="11" t="str">
        <f>IFERROR(__xludf.DUMMYFUNCTION("""COMPUTED_VALUE"""),"Information System Design &amp; Software Engineering")</f>
        <v>Information System Design &amp; Software Engineering</v>
      </c>
      <c r="H31" s="13">
        <f>IFERROR(__xludf.DUMMYFUNCTION("""COMPUTED_VALUE"""),38.0)</f>
        <v>38</v>
      </c>
      <c r="I31" s="11" t="str">
        <f>IFERROR(__xludf.DUMMYFUNCTION("""COMPUTED_VALUE"""),"[ANMM] A N M Zahid Hossain Milkan")</f>
        <v>[ANMM] A N M Zahid Hossain Milkan</v>
      </c>
      <c r="J31" s="13">
        <f t="shared" si="1"/>
        <v>1</v>
      </c>
    </row>
    <row r="32">
      <c r="A32" s="11" t="str">
        <f>IFERROR(__xludf.DUMMYFUNCTION("""COMPUTED_VALUE"""),"C")</f>
        <v>C</v>
      </c>
      <c r="B32" s="11" t="str">
        <f>IFERROR(__xludf.DUMMYFUNCTION("""COMPUTED_VALUE"""),"Slot - 16")</f>
        <v>Slot - 16</v>
      </c>
      <c r="C32" s="11" t="str">
        <f>IFERROR(__xludf.DUMMYFUNCTION("""COMPUTED_VALUE"""),"19.04.2026")</f>
        <v>19.04.2026</v>
      </c>
      <c r="D32" s="12">
        <f>IFERROR(__xludf.DUMMYFUNCTION("""COMPUTED_VALUE"""),0.3541666666678793)</f>
        <v>0.3541666667</v>
      </c>
      <c r="E32" s="12">
        <f>IFERROR(__xludf.DUMMYFUNCTION("""COMPUTED_VALUE"""),0.4166666666678793)</f>
        <v>0.4166666667</v>
      </c>
      <c r="F32" s="11" t="str">
        <f>IFERROR(__xludf.DUMMYFUNCTION("""COMPUTED_VALUE"""),"CSE375.1")</f>
        <v>CSE375.1</v>
      </c>
      <c r="G32" s="11" t="str">
        <f>IFERROR(__xludf.DUMMYFUNCTION("""COMPUTED_VALUE"""),"Advanced Algorithm")</f>
        <v>Advanced Algorithm</v>
      </c>
      <c r="H32" s="13">
        <f>IFERROR(__xludf.DUMMYFUNCTION("""COMPUTED_VALUE"""),38.0)</f>
        <v>38</v>
      </c>
      <c r="I32" s="11" t="str">
        <f>IFERROR(__xludf.DUMMYFUNCTION("""COMPUTED_VALUE"""),"[ANMM] A N M Zahid Hossain Milkan")</f>
        <v>[ANMM] A N M Zahid Hossain Milkan</v>
      </c>
      <c r="J32" s="13">
        <f t="shared" si="1"/>
        <v>1</v>
      </c>
    </row>
    <row r="33">
      <c r="A33" s="11" t="str">
        <f>IFERROR(__xludf.DUMMYFUNCTION("""COMPUTED_VALUE"""),"C")</f>
        <v>C</v>
      </c>
      <c r="B33" s="11" t="str">
        <f>IFERROR(__xludf.DUMMYFUNCTION("""COMPUTED_VALUE"""),"Slot - 16")</f>
        <v>Slot - 16</v>
      </c>
      <c r="C33" s="11" t="str">
        <f>IFERROR(__xludf.DUMMYFUNCTION("""COMPUTED_VALUE"""),"19.04.2026")</f>
        <v>19.04.2026</v>
      </c>
      <c r="D33" s="12">
        <f>IFERROR(__xludf.DUMMYFUNCTION("""COMPUTED_VALUE"""),0.3541666666678793)</f>
        <v>0.3541666667</v>
      </c>
      <c r="E33" s="12">
        <f>IFERROR(__xludf.DUMMYFUNCTION("""COMPUTED_VALUE"""),0.4166666666678793)</f>
        <v>0.4166666667</v>
      </c>
      <c r="F33" s="11" t="str">
        <f>IFERROR(__xludf.DUMMYFUNCTION("""COMPUTED_VALUE"""),"CSE375.2")</f>
        <v>CSE375.2</v>
      </c>
      <c r="G33" s="11" t="str">
        <f>IFERROR(__xludf.DUMMYFUNCTION("""COMPUTED_VALUE"""),"Advanced Algorithm")</f>
        <v>Advanced Algorithm</v>
      </c>
      <c r="H33" s="13">
        <f>IFERROR(__xludf.DUMMYFUNCTION("""COMPUTED_VALUE"""),38.0)</f>
        <v>38</v>
      </c>
      <c r="I33" s="11" t="str">
        <f>IFERROR(__xludf.DUMMYFUNCTION("""COMPUTED_VALUE"""),"[ANMM] A N M Zahid Hossain Milkan")</f>
        <v>[ANMM] A N M Zahid Hossain Milkan</v>
      </c>
      <c r="J33" s="13">
        <f t="shared" si="1"/>
        <v>1</v>
      </c>
    </row>
    <row r="34">
      <c r="A34" s="11" t="str">
        <f>IFERROR(__xludf.DUMMYFUNCTION("""COMPUTED_VALUE"""),"C")</f>
        <v>C</v>
      </c>
      <c r="B34" s="11" t="str">
        <f>IFERROR(__xludf.DUMMYFUNCTION("""COMPUTED_VALUE"""),"Slot - 02")</f>
        <v>Slot - 02</v>
      </c>
      <c r="C34" s="11" t="str">
        <f>IFERROR(__xludf.DUMMYFUNCTION("""COMPUTED_VALUE"""),"12.04.2026")</f>
        <v>12.04.2026</v>
      </c>
      <c r="D34" s="12">
        <f>IFERROR(__xludf.DUMMYFUNCTION("""COMPUTED_VALUE"""),0.4791666666678793)</f>
        <v>0.4791666667</v>
      </c>
      <c r="E34" s="12">
        <f>IFERROR(__xludf.DUMMYFUNCTION("""COMPUTED_VALUE"""),0.5416666666678793)</f>
        <v>0.5416666667</v>
      </c>
      <c r="F34" s="11" t="str">
        <f>IFERROR(__xludf.DUMMYFUNCTION("""COMPUTED_VALUE"""),"CSE471.3")</f>
        <v>CSE471.3</v>
      </c>
      <c r="G34" s="11" t="str">
        <f>IFERROR(__xludf.DUMMYFUNCTION("""COMPUTED_VALUE"""),"Web and Internet Programming")</f>
        <v>Web and Internet Programming</v>
      </c>
      <c r="H34" s="13">
        <f>IFERROR(__xludf.DUMMYFUNCTION("""COMPUTED_VALUE"""),37.0)</f>
        <v>37</v>
      </c>
      <c r="I34" s="11" t="str">
        <f>IFERROR(__xludf.DUMMYFUNCTION("""COMPUTED_VALUE"""),"[ANMS] Anik Mahmud Shanto")</f>
        <v>[ANMS] Anik Mahmud Shanto</v>
      </c>
      <c r="J34" s="13">
        <f t="shared" si="1"/>
        <v>-1</v>
      </c>
    </row>
    <row r="35">
      <c r="A35" s="11" t="str">
        <f>IFERROR(__xludf.DUMMYFUNCTION("""COMPUTED_VALUE"""),"C")</f>
        <v>C</v>
      </c>
      <c r="B35" s="11" t="str">
        <f>IFERROR(__xludf.DUMMYFUNCTION("""COMPUTED_VALUE"""),"Slot - 23")</f>
        <v>Slot - 23</v>
      </c>
      <c r="C35" s="11" t="str">
        <f>IFERROR(__xludf.DUMMYFUNCTION("""COMPUTED_VALUE"""),"21.04.2026")</f>
        <v>21.04.2026</v>
      </c>
      <c r="D35" s="12">
        <f>IFERROR(__xludf.DUMMYFUNCTION("""COMPUTED_VALUE"""),0.4791666666678793)</f>
        <v>0.4791666667</v>
      </c>
      <c r="E35" s="12">
        <f>IFERROR(__xludf.DUMMYFUNCTION("""COMPUTED_VALUE"""),0.5416666666678793)</f>
        <v>0.5416666667</v>
      </c>
      <c r="F35" s="11" t="str">
        <f>IFERROR(__xludf.DUMMYFUNCTION("""COMPUTED_VALUE"""),"CSE263.7")</f>
        <v>CSE263.7</v>
      </c>
      <c r="G35" s="11" t="str">
        <f>IFERROR(__xludf.DUMMYFUNCTION("""COMPUTED_VALUE"""),"Digital Logic Design")</f>
        <v>Digital Logic Design</v>
      </c>
      <c r="H35" s="13">
        <f>IFERROR(__xludf.DUMMYFUNCTION("""COMPUTED_VALUE"""),37.0)</f>
        <v>37</v>
      </c>
      <c r="I35" s="11" t="str">
        <f>IFERROR(__xludf.DUMMYFUNCTION("""COMPUTED_VALUE"""),"[ANMS] Anik Mahmud Shanto")</f>
        <v>[ANMS] Anik Mahmud Shanto</v>
      </c>
      <c r="J35" s="13">
        <f t="shared" si="1"/>
        <v>-1</v>
      </c>
    </row>
    <row r="36">
      <c r="A36" s="11" t="str">
        <f>IFERROR(__xludf.DUMMYFUNCTION("""COMPUTED_VALUE"""),"C")</f>
        <v>C</v>
      </c>
      <c r="B36" s="11" t="str">
        <f>IFERROR(__xludf.DUMMYFUNCTION("""COMPUTED_VALUE"""),"Slot - 12")</f>
        <v>Slot - 12</v>
      </c>
      <c r="C36" s="11" t="str">
        <f>IFERROR(__xludf.DUMMYFUNCTION("""COMPUTED_VALUE"""),"16.04.2026")</f>
        <v>16.04.2026</v>
      </c>
      <c r="D36" s="12">
        <f>IFERROR(__xludf.DUMMYFUNCTION("""COMPUTED_VALUE"""),0.6041666666678793)</f>
        <v>0.6041666667</v>
      </c>
      <c r="E36" s="12">
        <f>IFERROR(__xludf.DUMMYFUNCTION("""COMPUTED_VALUE"""),0.6666666666678793)</f>
        <v>0.6666666667</v>
      </c>
      <c r="F36" s="11" t="str">
        <f>IFERROR(__xludf.DUMMYFUNCTION("""COMPUTED_VALUE"""),"SOC341.8")</f>
        <v>SOC341.8</v>
      </c>
      <c r="G36" s="11" t="str">
        <f>IFERROR(__xludf.DUMMYFUNCTION("""COMPUTED_VALUE"""),"Engineering Ethics")</f>
        <v>Engineering Ethics</v>
      </c>
      <c r="H36" s="13">
        <f>IFERROR(__xludf.DUMMYFUNCTION("""COMPUTED_VALUE"""),42.0)</f>
        <v>42</v>
      </c>
      <c r="I36" s="11" t="str">
        <f>IFERROR(__xludf.DUMMYFUNCTION("""COMPUTED_VALUE"""),"[AP] Md. Anower Perves")</f>
        <v>[AP] Md. Anower Perves</v>
      </c>
      <c r="J36" s="13">
        <f t="shared" si="1"/>
        <v>1</v>
      </c>
    </row>
    <row r="37">
      <c r="A37" s="11" t="str">
        <f>IFERROR(__xludf.DUMMYFUNCTION("""COMPUTED_VALUE"""),"D")</f>
        <v>D</v>
      </c>
      <c r="B37" s="11" t="str">
        <f>IFERROR(__xludf.DUMMYFUNCTION("""COMPUTED_VALUE"""),"Slot - E")</f>
        <v>Slot - E</v>
      </c>
      <c r="C37" s="11" t="str">
        <f>IFERROR(__xludf.DUMMYFUNCTION("""COMPUTED_VALUE"""),"18.04.2026")</f>
        <v>18.04.2026</v>
      </c>
      <c r="D37" s="12">
        <f>IFERROR(__xludf.DUMMYFUNCTION("""COMPUTED_VALUE"""),0.6666666666678793)</f>
        <v>0.6666666667</v>
      </c>
      <c r="E37" s="12">
        <f>IFERROR(__xludf.DUMMYFUNCTION("""COMPUTED_VALUE"""),0.7291666666678793)</f>
        <v>0.7291666667</v>
      </c>
      <c r="F37" s="11" t="str">
        <f>IFERROR(__xludf.DUMMYFUNCTION("""COMPUTED_VALUE"""),"CSE4035.2")</f>
        <v>CSE4035.2</v>
      </c>
      <c r="G37" s="11" t="str">
        <f>IFERROR(__xludf.DUMMYFUNCTION("""COMPUTED_VALUE"""),"Software Development and Project Management")</f>
        <v>Software Development and Project Management</v>
      </c>
      <c r="H37" s="13">
        <f>IFERROR(__xludf.DUMMYFUNCTION("""COMPUTED_VALUE"""),1.0)</f>
        <v>1</v>
      </c>
      <c r="I37" s="11" t="str">
        <f>IFERROR(__xludf.DUMMYFUNCTION("""COMPUTED_VALUE"""),"[AP] Md. Anower Perves")</f>
        <v>[AP] Md. Anower Perves</v>
      </c>
      <c r="J37" s="13">
        <f t="shared" si="1"/>
        <v>1</v>
      </c>
    </row>
    <row r="38">
      <c r="A38" s="11" t="str">
        <f>IFERROR(__xludf.DUMMYFUNCTION("""COMPUTED_VALUE"""),"D")</f>
        <v>D</v>
      </c>
      <c r="B38" s="11" t="str">
        <f>IFERROR(__xludf.DUMMYFUNCTION("""COMPUTED_VALUE"""),"Slot - E")</f>
        <v>Slot - E</v>
      </c>
      <c r="C38" s="11" t="str">
        <f>IFERROR(__xludf.DUMMYFUNCTION("""COMPUTED_VALUE"""),"18.04.2026")</f>
        <v>18.04.2026</v>
      </c>
      <c r="D38" s="12">
        <f>IFERROR(__xludf.DUMMYFUNCTION("""COMPUTED_VALUE"""),0.6666666666678793)</f>
        <v>0.6666666667</v>
      </c>
      <c r="E38" s="12">
        <f>IFERROR(__xludf.DUMMYFUNCTION("""COMPUTED_VALUE"""),0.7291666666678793)</f>
        <v>0.7291666667</v>
      </c>
      <c r="F38" s="11" t="str">
        <f>IFERROR(__xludf.DUMMYFUNCTION("""COMPUTED_VALUE"""),"CSE473.3")</f>
        <v>CSE473.3</v>
      </c>
      <c r="G38" s="11" t="str">
        <f>IFERROR(__xludf.DUMMYFUNCTION("""COMPUTED_VALUE"""),"Software Development and Project Management")</f>
        <v>Software Development and Project Management</v>
      </c>
      <c r="H38" s="13">
        <f>IFERROR(__xludf.DUMMYFUNCTION("""COMPUTED_VALUE"""),37.0)</f>
        <v>37</v>
      </c>
      <c r="I38" s="11" t="str">
        <f>IFERROR(__xludf.DUMMYFUNCTION("""COMPUTED_VALUE"""),"[AP] Md. Anower Perves")</f>
        <v>[AP] Md. Anower Perves</v>
      </c>
      <c r="J38" s="13">
        <f t="shared" si="1"/>
        <v>1</v>
      </c>
    </row>
    <row r="39">
      <c r="A39" s="11" t="str">
        <f>IFERROR(__xludf.DUMMYFUNCTION("""COMPUTED_VALUE"""),"C")</f>
        <v>C</v>
      </c>
      <c r="B39" s="11" t="str">
        <f>IFERROR(__xludf.DUMMYFUNCTION("""COMPUTED_VALUE"""),"Slot - 09")</f>
        <v>Slot - 09</v>
      </c>
      <c r="C39" s="11" t="str">
        <f>IFERROR(__xludf.DUMMYFUNCTION("""COMPUTED_VALUE"""),"15.04.2026")</f>
        <v>15.04.2026</v>
      </c>
      <c r="D39" s="12">
        <f>IFERROR(__xludf.DUMMYFUNCTION("""COMPUTED_VALUE"""),0.6041666666678793)</f>
        <v>0.6041666667</v>
      </c>
      <c r="E39" s="12">
        <f>IFERROR(__xludf.DUMMYFUNCTION("""COMPUTED_VALUE"""),0.6666666666678793)</f>
        <v>0.6666666667</v>
      </c>
      <c r="F39" s="11" t="str">
        <f>IFERROR(__xludf.DUMMYFUNCTION("""COMPUTED_VALUE"""),"ENG105.19")</f>
        <v>ENG105.19</v>
      </c>
      <c r="G39" s="11" t="str">
        <f>IFERROR(__xludf.DUMMYFUNCTION("""COMPUTED_VALUE"""),"Public Speaking")</f>
        <v>Public Speaking</v>
      </c>
      <c r="H39" s="13">
        <f>IFERROR(__xludf.DUMMYFUNCTION("""COMPUTED_VALUE"""),30.0)</f>
        <v>30</v>
      </c>
      <c r="I39" s="11" t="str">
        <f>IFERROR(__xludf.DUMMYFUNCTION("""COMPUTED_VALUE"""),"[APZ] Anwar Parvez")</f>
        <v>[APZ] Anwar Parvez</v>
      </c>
      <c r="J39" s="13">
        <f t="shared" si="1"/>
        <v>-1</v>
      </c>
    </row>
    <row r="40">
      <c r="A40" s="11" t="str">
        <f>IFERROR(__xludf.DUMMYFUNCTION("""COMPUTED_VALUE"""),"C")</f>
        <v>C</v>
      </c>
      <c r="B40" s="11" t="str">
        <f>IFERROR(__xludf.DUMMYFUNCTION("""COMPUTED_VALUE"""),"Slot - 09")</f>
        <v>Slot - 09</v>
      </c>
      <c r="C40" s="11" t="str">
        <f>IFERROR(__xludf.DUMMYFUNCTION("""COMPUTED_VALUE"""),"15.04.2026")</f>
        <v>15.04.2026</v>
      </c>
      <c r="D40" s="12">
        <f>IFERROR(__xludf.DUMMYFUNCTION("""COMPUTED_VALUE"""),0.6041666666678793)</f>
        <v>0.6041666667</v>
      </c>
      <c r="E40" s="12">
        <f>IFERROR(__xludf.DUMMYFUNCTION("""COMPUTED_VALUE"""),0.6666666666678793)</f>
        <v>0.6666666667</v>
      </c>
      <c r="F40" s="11" t="str">
        <f>IFERROR(__xludf.DUMMYFUNCTION("""COMPUTED_VALUE"""),"ENG105.20")</f>
        <v>ENG105.20</v>
      </c>
      <c r="G40" s="11" t="str">
        <f>IFERROR(__xludf.DUMMYFUNCTION("""COMPUTED_VALUE"""),"Public Speaking")</f>
        <v>Public Speaking</v>
      </c>
      <c r="H40" s="13">
        <f>IFERROR(__xludf.DUMMYFUNCTION("""COMPUTED_VALUE"""),29.0)</f>
        <v>29</v>
      </c>
      <c r="I40" s="11" t="str">
        <f>IFERROR(__xludf.DUMMYFUNCTION("""COMPUTED_VALUE"""),"[APZ] Anwar Parvez")</f>
        <v>[APZ] Anwar Parvez</v>
      </c>
      <c r="J40" s="13">
        <f t="shared" si="1"/>
        <v>-1</v>
      </c>
    </row>
    <row r="41">
      <c r="A41" s="11" t="str">
        <f>IFERROR(__xludf.DUMMYFUNCTION("""COMPUTED_VALUE"""),"D")</f>
        <v>D</v>
      </c>
      <c r="B41" s="11" t="str">
        <f>IFERROR(__xludf.DUMMYFUNCTION("""COMPUTED_VALUE"""),"Slot - D")</f>
        <v>Slot - D</v>
      </c>
      <c r="C41" s="11" t="str">
        <f>IFERROR(__xludf.DUMMYFUNCTION("""COMPUTED_VALUE"""),"17.04.2026")</f>
        <v>17.04.2026</v>
      </c>
      <c r="D41" s="12">
        <f>IFERROR(__xludf.DUMMYFUNCTION("""COMPUTED_VALUE"""),0.7083333333321207)</f>
        <v>0.7083333333</v>
      </c>
      <c r="E41" s="12">
        <f>IFERROR(__xludf.DUMMYFUNCTION("""COMPUTED_VALUE"""),0.7708333333321207)</f>
        <v>0.7708333333</v>
      </c>
      <c r="F41" s="11" t="str">
        <f>IFERROR(__xludf.DUMMYFUNCTION("""COMPUTED_VALUE"""),"MAT261.11")</f>
        <v>MAT261.11</v>
      </c>
      <c r="G41" s="11" t="str">
        <f>IFERROR(__xludf.DUMMYFUNCTION("""COMPUTED_VALUE"""),"Linear Algebra and Matrices")</f>
        <v>Linear Algebra and Matrices</v>
      </c>
      <c r="H41" s="13">
        <f>IFERROR(__xludf.DUMMYFUNCTION("""COMPUTED_VALUE"""),34.0)</f>
        <v>34</v>
      </c>
      <c r="I41" s="11" t="str">
        <f>IFERROR(__xludf.DUMMYFUNCTION("""COMPUTED_VALUE"""),"[ARA] Md. Ashraful Alam")</f>
        <v>[ARA] Md. Ashraful Alam</v>
      </c>
      <c r="J41" s="13">
        <f t="shared" si="1"/>
        <v>1</v>
      </c>
    </row>
    <row r="42">
      <c r="A42" s="11" t="str">
        <f>IFERROR(__xludf.DUMMYFUNCTION("""COMPUTED_VALUE"""),"D")</f>
        <v>D</v>
      </c>
      <c r="B42" s="11" t="str">
        <f>IFERROR(__xludf.DUMMYFUNCTION("""COMPUTED_VALUE"""),"Slot - F")</f>
        <v>Slot - F</v>
      </c>
      <c r="C42" s="11" t="str">
        <f>IFERROR(__xludf.DUMMYFUNCTION("""COMPUTED_VALUE"""),"18.04.2026")</f>
        <v>18.04.2026</v>
      </c>
      <c r="D42" s="12">
        <f>IFERROR(__xludf.DUMMYFUNCTION("""COMPUTED_VALUE"""),0.7916666666678793)</f>
        <v>0.7916666667</v>
      </c>
      <c r="E42" s="12">
        <f>IFERROR(__xludf.DUMMYFUNCTION("""COMPUTED_VALUE"""),0.8541666666678793)</f>
        <v>0.8541666667</v>
      </c>
      <c r="F42" s="11" t="str">
        <f>IFERROR(__xludf.DUMMYFUNCTION("""COMPUTED_VALUE"""),"MAT161.10")</f>
        <v>MAT161.10</v>
      </c>
      <c r="G42" s="11" t="str">
        <f>IFERROR(__xludf.DUMMYFUNCTION("""COMPUTED_VALUE"""),"Coordinate Geometry and Vector Analysis")</f>
        <v>Coordinate Geometry and Vector Analysis</v>
      </c>
      <c r="H42" s="13">
        <f>IFERROR(__xludf.DUMMYFUNCTION("""COMPUTED_VALUE"""),22.0)</f>
        <v>22</v>
      </c>
      <c r="I42" s="11" t="str">
        <f>IFERROR(__xludf.DUMMYFUNCTION("""COMPUTED_VALUE"""),"[ARA] Md. Ashraful Alam")</f>
        <v>[ARA] Md. Ashraful Alam</v>
      </c>
      <c r="J42" s="13">
        <f t="shared" si="1"/>
        <v>1</v>
      </c>
    </row>
    <row r="43">
      <c r="A43" s="11" t="str">
        <f>IFERROR(__xludf.DUMMYFUNCTION("""COMPUTED_VALUE"""),"C")</f>
        <v>C</v>
      </c>
      <c r="B43" s="11" t="str">
        <f>IFERROR(__xludf.DUMMYFUNCTION("""COMPUTED_VALUE"""),"Slot - 16")</f>
        <v>Slot - 16</v>
      </c>
      <c r="C43" s="11" t="str">
        <f>IFERROR(__xludf.DUMMYFUNCTION("""COMPUTED_VALUE"""),"19.04.2026")</f>
        <v>19.04.2026</v>
      </c>
      <c r="D43" s="12">
        <f>IFERROR(__xludf.DUMMYFUNCTION("""COMPUTED_VALUE"""),0.3541666666678793)</f>
        <v>0.3541666667</v>
      </c>
      <c r="E43" s="12">
        <f>IFERROR(__xludf.DUMMYFUNCTION("""COMPUTED_VALUE"""),0.4166666666678793)</f>
        <v>0.4166666667</v>
      </c>
      <c r="F43" s="11" t="str">
        <f>IFERROR(__xludf.DUMMYFUNCTION("""COMPUTED_VALUE"""),"EEE241.6")</f>
        <v>EEE241.6</v>
      </c>
      <c r="G43" s="11" t="str">
        <f>IFERROR(__xludf.DUMMYFUNCTION("""COMPUTED_VALUE"""),"Electronic Devices &amp; Circuits I")</f>
        <v>Electronic Devices &amp; Circuits I</v>
      </c>
      <c r="H43" s="13">
        <f>IFERROR(__xludf.DUMMYFUNCTION("""COMPUTED_VALUE"""),37.0)</f>
        <v>37</v>
      </c>
      <c r="I43" s="11" t="str">
        <f>IFERROR(__xludf.DUMMYFUNCTION("""COMPUTED_VALUE"""),"[ASH] Ahnaf Shahriyar")</f>
        <v>[ASH] Ahnaf Shahriyar</v>
      </c>
      <c r="J43" s="13">
        <f t="shared" si="1"/>
        <v>-1</v>
      </c>
    </row>
    <row r="44">
      <c r="A44" s="11" t="str">
        <f>IFERROR(__xludf.DUMMYFUNCTION("""COMPUTED_VALUE"""),"C")</f>
        <v>C</v>
      </c>
      <c r="B44" s="11" t="str">
        <f>IFERROR(__xludf.DUMMYFUNCTION("""COMPUTED_VALUE"""),"Slot - 16")</f>
        <v>Slot - 16</v>
      </c>
      <c r="C44" s="11" t="str">
        <f>IFERROR(__xludf.DUMMYFUNCTION("""COMPUTED_VALUE"""),"19.04.2026")</f>
        <v>19.04.2026</v>
      </c>
      <c r="D44" s="12">
        <f>IFERROR(__xludf.DUMMYFUNCTION("""COMPUTED_VALUE"""),0.3541666666678793)</f>
        <v>0.3541666667</v>
      </c>
      <c r="E44" s="12">
        <f>IFERROR(__xludf.DUMMYFUNCTION("""COMPUTED_VALUE"""),0.4166666666678793)</f>
        <v>0.4166666667</v>
      </c>
      <c r="F44" s="11" t="str">
        <f>IFERROR(__xludf.DUMMYFUNCTION("""COMPUTED_VALUE"""),"EEE241.7")</f>
        <v>EEE241.7</v>
      </c>
      <c r="G44" s="11" t="str">
        <f>IFERROR(__xludf.DUMMYFUNCTION("""COMPUTED_VALUE"""),"Electronic Devices &amp; Circuits I")</f>
        <v>Electronic Devices &amp; Circuits I</v>
      </c>
      <c r="H44" s="13">
        <f>IFERROR(__xludf.DUMMYFUNCTION("""COMPUTED_VALUE"""),36.0)</f>
        <v>36</v>
      </c>
      <c r="I44" s="11" t="str">
        <f>IFERROR(__xludf.DUMMYFUNCTION("""COMPUTED_VALUE"""),"[ASH] Ahnaf Shahriyar")</f>
        <v>[ASH] Ahnaf Shahriyar</v>
      </c>
      <c r="J44" s="13">
        <f t="shared" si="1"/>
        <v>-1</v>
      </c>
    </row>
    <row r="45">
      <c r="A45" s="11" t="str">
        <f>IFERROR(__xludf.DUMMYFUNCTION("""COMPUTED_VALUE"""),"D")</f>
        <v>D</v>
      </c>
      <c r="B45" s="11" t="str">
        <f>IFERROR(__xludf.DUMMYFUNCTION("""COMPUTED_VALUE"""),"Slot - D")</f>
        <v>Slot - D</v>
      </c>
      <c r="C45" s="11" t="str">
        <f>IFERROR(__xludf.DUMMYFUNCTION("""COMPUTED_VALUE"""),"17.04.2026")</f>
        <v>17.04.2026</v>
      </c>
      <c r="D45" s="12">
        <f>IFERROR(__xludf.DUMMYFUNCTION("""COMPUTED_VALUE"""),0.7083333333321207)</f>
        <v>0.7083333333</v>
      </c>
      <c r="E45" s="12">
        <f>IFERROR(__xludf.DUMMYFUNCTION("""COMPUTED_VALUE"""),0.7708333333321207)</f>
        <v>0.7708333333</v>
      </c>
      <c r="F45" s="11" t="str">
        <f>IFERROR(__xludf.DUMMYFUNCTION("""COMPUTED_VALUE"""),"CSE375.4")</f>
        <v>CSE375.4</v>
      </c>
      <c r="G45" s="11" t="str">
        <f>IFERROR(__xludf.DUMMYFUNCTION("""COMPUTED_VALUE"""),"Advanced Algorithm")</f>
        <v>Advanced Algorithm</v>
      </c>
      <c r="H45" s="13">
        <f>IFERROR(__xludf.DUMMYFUNCTION("""COMPUTED_VALUE"""),42.0)</f>
        <v>42</v>
      </c>
      <c r="I45" s="11" t="str">
        <f>IFERROR(__xludf.DUMMYFUNCTION("""COMPUTED_VALUE"""),"[ASHI] Mohammad Ashraful Islam")</f>
        <v>[ASHI] Mohammad Ashraful Islam</v>
      </c>
      <c r="J45" s="13">
        <f t="shared" si="1"/>
        <v>1</v>
      </c>
    </row>
    <row r="46">
      <c r="A46" s="11" t="str">
        <f>IFERROR(__xludf.DUMMYFUNCTION("""COMPUTED_VALUE"""),"C")</f>
        <v>C</v>
      </c>
      <c r="B46" s="11" t="str">
        <f>IFERROR(__xludf.DUMMYFUNCTION("""COMPUTED_VALUE"""),"Slot - 04")</f>
        <v>Slot - 04</v>
      </c>
      <c r="C46" s="11" t="str">
        <f>IFERROR(__xludf.DUMMYFUNCTION("""COMPUTED_VALUE"""),"13.04.2026")</f>
        <v>13.04.2026</v>
      </c>
      <c r="D46" s="12">
        <f>IFERROR(__xludf.DUMMYFUNCTION("""COMPUTED_VALUE"""),0.3541666666678793)</f>
        <v>0.3541666667</v>
      </c>
      <c r="E46" s="12">
        <f>IFERROR(__xludf.DUMMYFUNCTION("""COMPUTED_VALUE"""),0.4166666666678793)</f>
        <v>0.4166666667</v>
      </c>
      <c r="F46" s="11" t="str">
        <f>IFERROR(__xludf.DUMMYFUNCTION("""COMPUTED_VALUE"""),"ELL1303.7")</f>
        <v>ELL1303.7</v>
      </c>
      <c r="G46" s="11" t="str">
        <f>IFERROR(__xludf.DUMMYFUNCTION("""COMPUTED_VALUE"""),"Advanced English Skills")</f>
        <v>Advanced English Skills</v>
      </c>
      <c r="H46" s="13">
        <f>IFERROR(__xludf.DUMMYFUNCTION("""COMPUTED_VALUE"""),32.0)</f>
        <v>32</v>
      </c>
      <c r="I46" s="11" t="str">
        <f>IFERROR(__xludf.DUMMYFUNCTION("""COMPUTED_VALUE"""),"[ASM] Anika Shormily Meem")</f>
        <v>[ASM] Anika Shormily Meem</v>
      </c>
      <c r="J46" s="13">
        <f t="shared" si="1"/>
        <v>-1</v>
      </c>
    </row>
    <row r="47">
      <c r="A47" s="11" t="str">
        <f>IFERROR(__xludf.DUMMYFUNCTION("""COMPUTED_VALUE"""),"C")</f>
        <v>C</v>
      </c>
      <c r="B47" s="11" t="str">
        <f>IFERROR(__xludf.DUMMYFUNCTION("""COMPUTED_VALUE"""),"Slot - 04")</f>
        <v>Slot - 04</v>
      </c>
      <c r="C47" s="11" t="str">
        <f>IFERROR(__xludf.DUMMYFUNCTION("""COMPUTED_VALUE"""),"13.04.2026")</f>
        <v>13.04.2026</v>
      </c>
      <c r="D47" s="12">
        <f>IFERROR(__xludf.DUMMYFUNCTION("""COMPUTED_VALUE"""),0.3541666666678793)</f>
        <v>0.3541666667</v>
      </c>
      <c r="E47" s="12">
        <f>IFERROR(__xludf.DUMMYFUNCTION("""COMPUTED_VALUE"""),0.4166666666678793)</f>
        <v>0.4166666667</v>
      </c>
      <c r="F47" s="11" t="str">
        <f>IFERROR(__xludf.DUMMYFUNCTION("""COMPUTED_VALUE"""),"ELL1303.8")</f>
        <v>ELL1303.8</v>
      </c>
      <c r="G47" s="11" t="str">
        <f>IFERROR(__xludf.DUMMYFUNCTION("""COMPUTED_VALUE"""),"Advanced English Skills")</f>
        <v>Advanced English Skills</v>
      </c>
      <c r="H47" s="13">
        <f>IFERROR(__xludf.DUMMYFUNCTION("""COMPUTED_VALUE"""),30.0)</f>
        <v>30</v>
      </c>
      <c r="I47" s="11" t="str">
        <f>IFERROR(__xludf.DUMMYFUNCTION("""COMPUTED_VALUE"""),"[ASM] Anika Shormily Meem")</f>
        <v>[ASM] Anika Shormily Meem</v>
      </c>
      <c r="J47" s="13">
        <f t="shared" si="1"/>
        <v>-1</v>
      </c>
    </row>
    <row r="48">
      <c r="A48" s="11" t="str">
        <f>IFERROR(__xludf.DUMMYFUNCTION("""COMPUTED_VALUE"""),"C")</f>
        <v>C</v>
      </c>
      <c r="B48" s="11" t="str">
        <f>IFERROR(__xludf.DUMMYFUNCTION("""COMPUTED_VALUE"""),"Slot - 04")</f>
        <v>Slot - 04</v>
      </c>
      <c r="C48" s="11" t="str">
        <f>IFERROR(__xludf.DUMMYFUNCTION("""COMPUTED_VALUE"""),"13.04.2026")</f>
        <v>13.04.2026</v>
      </c>
      <c r="D48" s="12">
        <f>IFERROR(__xludf.DUMMYFUNCTION("""COMPUTED_VALUE"""),0.3541666666678793)</f>
        <v>0.3541666667</v>
      </c>
      <c r="E48" s="12">
        <f>IFERROR(__xludf.DUMMYFUNCTION("""COMPUTED_VALUE"""),0.4166666666678793)</f>
        <v>0.4166666667</v>
      </c>
      <c r="F48" s="11" t="str">
        <f>IFERROR(__xludf.DUMMYFUNCTION("""COMPUTED_VALUE"""),"ELL1303.10")</f>
        <v>ELL1303.10</v>
      </c>
      <c r="G48" s="11" t="str">
        <f>IFERROR(__xludf.DUMMYFUNCTION("""COMPUTED_VALUE"""),"Advanced English Skills")</f>
        <v>Advanced English Skills</v>
      </c>
      <c r="H48" s="13">
        <f>IFERROR(__xludf.DUMMYFUNCTION("""COMPUTED_VALUE"""),30.0)</f>
        <v>30</v>
      </c>
      <c r="I48" s="11" t="str">
        <f>IFERROR(__xludf.DUMMYFUNCTION("""COMPUTED_VALUE"""),"[ASM] Anika Shormily Meem")</f>
        <v>[ASM] Anika Shormily Meem</v>
      </c>
      <c r="J48" s="13">
        <f t="shared" si="1"/>
        <v>-1</v>
      </c>
    </row>
    <row r="49">
      <c r="A49" s="11" t="str">
        <f>IFERROR(__xludf.DUMMYFUNCTION("""COMPUTED_VALUE"""),"C")</f>
        <v>C</v>
      </c>
      <c r="B49" s="11" t="str">
        <f>IFERROR(__xludf.DUMMYFUNCTION("""COMPUTED_VALUE"""),"Slot - 04")</f>
        <v>Slot - 04</v>
      </c>
      <c r="C49" s="11" t="str">
        <f>IFERROR(__xludf.DUMMYFUNCTION("""COMPUTED_VALUE"""),"13.04.2026")</f>
        <v>13.04.2026</v>
      </c>
      <c r="D49" s="12">
        <f>IFERROR(__xludf.DUMMYFUNCTION("""COMPUTED_VALUE"""),0.3541666666678793)</f>
        <v>0.3541666667</v>
      </c>
      <c r="E49" s="12">
        <f>IFERROR(__xludf.DUMMYFUNCTION("""COMPUTED_VALUE"""),0.4166666666678793)</f>
        <v>0.4166666667</v>
      </c>
      <c r="F49" s="11" t="str">
        <f>IFERROR(__xludf.DUMMYFUNCTION("""COMPUTED_VALUE"""),"ENG103.39")</f>
        <v>ENG103.39</v>
      </c>
      <c r="G49" s="11" t="str">
        <f>IFERROR(__xludf.DUMMYFUNCTION("""COMPUTED_VALUE"""),"Advanced English Skills")</f>
        <v>Advanced English Skills</v>
      </c>
      <c r="H49" s="13">
        <f>IFERROR(__xludf.DUMMYFUNCTION("""COMPUTED_VALUE"""),36.0)</f>
        <v>36</v>
      </c>
      <c r="I49" s="11" t="str">
        <f>IFERROR(__xludf.DUMMYFUNCTION("""COMPUTED_VALUE"""),"[ASM] Anika Shormily Meem")</f>
        <v>[ASM] Anika Shormily Meem</v>
      </c>
      <c r="J49" s="13">
        <f t="shared" si="1"/>
        <v>-1</v>
      </c>
    </row>
    <row r="50">
      <c r="A50" s="11" t="str">
        <f>IFERROR(__xludf.DUMMYFUNCTION("""COMPUTED_VALUE"""),"D")</f>
        <v>D</v>
      </c>
      <c r="B50" s="11" t="str">
        <f>IFERROR(__xludf.DUMMYFUNCTION("""COMPUTED_VALUE"""),"Slot - H")</f>
        <v>Slot - H</v>
      </c>
      <c r="C50" s="11" t="str">
        <f>IFERROR(__xludf.DUMMYFUNCTION("""COMPUTED_VALUE"""),"24.04.2026")</f>
        <v>24.04.2026</v>
      </c>
      <c r="D50" s="12">
        <f>IFERROR(__xludf.DUMMYFUNCTION("""COMPUTED_VALUE"""),0.4791666666678793)</f>
        <v>0.4791666667</v>
      </c>
      <c r="E50" s="12">
        <f>IFERROR(__xludf.DUMMYFUNCTION("""COMPUTED_VALUE"""),0.5416666666678793)</f>
        <v>0.5416666667</v>
      </c>
      <c r="F50" s="11" t="str">
        <f>IFERROR(__xludf.DUMMYFUNCTION("""COMPUTED_VALUE"""),"ACT141.5")</f>
        <v>ACT141.5</v>
      </c>
      <c r="G50" s="11" t="str">
        <f>IFERROR(__xludf.DUMMYFUNCTION("""COMPUTED_VALUE"""),"Introduction to Accounting")</f>
        <v>Introduction to Accounting</v>
      </c>
      <c r="H50" s="13">
        <f>IFERROR(__xludf.DUMMYFUNCTION("""COMPUTED_VALUE"""),29.0)</f>
        <v>29</v>
      </c>
      <c r="I50" s="11" t="str">
        <f>IFERROR(__xludf.DUMMYFUNCTION("""COMPUTED_VALUE"""),"[ASNA] Abu Sayeed Nooruddin Ahmed")</f>
        <v>[ASNA] Abu Sayeed Nooruddin Ahmed</v>
      </c>
      <c r="J50" s="13">
        <f t="shared" si="1"/>
        <v>1</v>
      </c>
    </row>
    <row r="51">
      <c r="A51" s="11" t="str">
        <f>IFERROR(__xludf.DUMMYFUNCTION("""COMPUTED_VALUE"""),"C")</f>
        <v>C</v>
      </c>
      <c r="B51" s="11" t="str">
        <f>IFERROR(__xludf.DUMMYFUNCTION("""COMPUTED_VALUE"""),"Slot - 01")</f>
        <v>Slot - 01</v>
      </c>
      <c r="C51" s="11" t="str">
        <f>IFERROR(__xludf.DUMMYFUNCTION("""COMPUTED_VALUE"""),"12.04.2026")</f>
        <v>12.04.2026</v>
      </c>
      <c r="D51" s="12">
        <f>IFERROR(__xludf.DUMMYFUNCTION("""COMPUTED_VALUE"""),0.3541666666678793)</f>
        <v>0.3541666667</v>
      </c>
      <c r="E51" s="12">
        <f>IFERROR(__xludf.DUMMYFUNCTION("""COMPUTED_VALUE"""),0.4166666666678793)</f>
        <v>0.4166666667</v>
      </c>
      <c r="F51" s="11" t="str">
        <f>IFERROR(__xludf.DUMMYFUNCTION("""COMPUTED_VALUE"""),"CSE3035.1")</f>
        <v>CSE3035.1</v>
      </c>
      <c r="G51" s="11" t="str">
        <f>IFERROR(__xludf.DUMMYFUNCTION("""COMPUTED_VALUE"""),"Information System Design &amp; Software Engineering")</f>
        <v>Information System Design &amp; Software Engineering</v>
      </c>
      <c r="H51" s="13">
        <f>IFERROR(__xludf.DUMMYFUNCTION("""COMPUTED_VALUE"""),1.0)</f>
        <v>1</v>
      </c>
      <c r="I51" s="11" t="str">
        <f>IFERROR(__xludf.DUMMYFUNCTION("""COMPUTED_VALUE"""),"[AVIC] Avishek Chakraborty")</f>
        <v>[AVIC] Avishek Chakraborty</v>
      </c>
      <c r="J51" s="13">
        <f t="shared" si="1"/>
        <v>-1</v>
      </c>
    </row>
    <row r="52">
      <c r="A52" s="11" t="str">
        <f>IFERROR(__xludf.DUMMYFUNCTION("""COMPUTED_VALUE"""),"C")</f>
        <v>C</v>
      </c>
      <c r="B52" s="11" t="str">
        <f>IFERROR(__xludf.DUMMYFUNCTION("""COMPUTED_VALUE"""),"Slot - 01")</f>
        <v>Slot - 01</v>
      </c>
      <c r="C52" s="11" t="str">
        <f>IFERROR(__xludf.DUMMYFUNCTION("""COMPUTED_VALUE"""),"12.04.2026")</f>
        <v>12.04.2026</v>
      </c>
      <c r="D52" s="12">
        <f>IFERROR(__xludf.DUMMYFUNCTION("""COMPUTED_VALUE"""),0.3541666666678793)</f>
        <v>0.3541666667</v>
      </c>
      <c r="E52" s="12">
        <f>IFERROR(__xludf.DUMMYFUNCTION("""COMPUTED_VALUE"""),0.4166666666678793)</f>
        <v>0.4166666667</v>
      </c>
      <c r="F52" s="11" t="str">
        <f>IFERROR(__xludf.DUMMYFUNCTION("""COMPUTED_VALUE"""),"CSE345.9")</f>
        <v>CSE345.9</v>
      </c>
      <c r="G52" s="11" t="str">
        <f>IFERROR(__xludf.DUMMYFUNCTION("""COMPUTED_VALUE"""),"Information System Design &amp; Software Engineering")</f>
        <v>Information System Design &amp; Software Engineering</v>
      </c>
      <c r="H52" s="13">
        <f>IFERROR(__xludf.DUMMYFUNCTION("""COMPUTED_VALUE"""),38.0)</f>
        <v>38</v>
      </c>
      <c r="I52" s="11" t="str">
        <f>IFERROR(__xludf.DUMMYFUNCTION("""COMPUTED_VALUE"""),"[AVIC] Avishek Chakraborty")</f>
        <v>[AVIC] Avishek Chakraborty</v>
      </c>
      <c r="J52" s="13">
        <f t="shared" si="1"/>
        <v>-1</v>
      </c>
    </row>
    <row r="53">
      <c r="A53" s="11" t="str">
        <f>IFERROR(__xludf.DUMMYFUNCTION("""COMPUTED_VALUE"""),"C")</f>
        <v>C</v>
      </c>
      <c r="B53" s="11" t="str">
        <f>IFERROR(__xludf.DUMMYFUNCTION("""COMPUTED_VALUE"""),"Slot - 01")</f>
        <v>Slot - 01</v>
      </c>
      <c r="C53" s="11" t="str">
        <f>IFERROR(__xludf.DUMMYFUNCTION("""COMPUTED_VALUE"""),"12.04.2026")</f>
        <v>12.04.2026</v>
      </c>
      <c r="D53" s="12">
        <f>IFERROR(__xludf.DUMMYFUNCTION("""COMPUTED_VALUE"""),0.3541666666678793)</f>
        <v>0.3541666667</v>
      </c>
      <c r="E53" s="12">
        <f>IFERROR(__xludf.DUMMYFUNCTION("""COMPUTED_VALUE"""),0.4166666666678793)</f>
        <v>0.4166666667</v>
      </c>
      <c r="F53" s="11" t="str">
        <f>IFERROR(__xludf.DUMMYFUNCTION("""COMPUTED_VALUE"""),"CSE345.10")</f>
        <v>CSE345.10</v>
      </c>
      <c r="G53" s="11" t="str">
        <f>IFERROR(__xludf.DUMMYFUNCTION("""COMPUTED_VALUE"""),"Information System Design &amp; Software Engineering")</f>
        <v>Information System Design &amp; Software Engineering</v>
      </c>
      <c r="H53" s="13">
        <f>IFERROR(__xludf.DUMMYFUNCTION("""COMPUTED_VALUE"""),17.0)</f>
        <v>17</v>
      </c>
      <c r="I53" s="11" t="str">
        <f>IFERROR(__xludf.DUMMYFUNCTION("""COMPUTED_VALUE"""),"[AVIC] Avishek Chakraborty")</f>
        <v>[AVIC] Avishek Chakraborty</v>
      </c>
      <c r="J53" s="13">
        <f t="shared" si="1"/>
        <v>-1</v>
      </c>
    </row>
    <row r="54">
      <c r="A54" s="11" t="str">
        <f>IFERROR(__xludf.DUMMYFUNCTION("""COMPUTED_VALUE"""),"C")</f>
        <v>C</v>
      </c>
      <c r="B54" s="11" t="str">
        <f>IFERROR(__xludf.DUMMYFUNCTION("""COMPUTED_VALUE"""),"Slot - 09")</f>
        <v>Slot - 09</v>
      </c>
      <c r="C54" s="11" t="str">
        <f>IFERROR(__xludf.DUMMYFUNCTION("""COMPUTED_VALUE"""),"15.04.2026")</f>
        <v>15.04.2026</v>
      </c>
      <c r="D54" s="12">
        <f>IFERROR(__xludf.DUMMYFUNCTION("""COMPUTED_VALUE"""),0.6041666666678793)</f>
        <v>0.6041666667</v>
      </c>
      <c r="E54" s="12">
        <f>IFERROR(__xludf.DUMMYFUNCTION("""COMPUTED_VALUE"""),0.6666666666678793)</f>
        <v>0.6666666667</v>
      </c>
      <c r="F54" s="11" t="str">
        <f>IFERROR(__xludf.DUMMYFUNCTION("""COMPUTED_VALUE"""),"CSE353.5")</f>
        <v>CSE353.5</v>
      </c>
      <c r="G54" s="11" t="str">
        <f>IFERROR(__xludf.DUMMYFUNCTION("""COMPUTED_VALUE"""),"Introduction to Data Mining")</f>
        <v>Introduction to Data Mining</v>
      </c>
      <c r="H54" s="13">
        <f>IFERROR(__xludf.DUMMYFUNCTION("""COMPUTED_VALUE"""),38.0)</f>
        <v>38</v>
      </c>
      <c r="I54" s="11" t="str">
        <f>IFERROR(__xludf.DUMMYFUNCTION("""COMPUTED_VALUE"""),"[AVIC] Avishek Chakraborty")</f>
        <v>[AVIC] Avishek Chakraborty</v>
      </c>
      <c r="J54" s="13">
        <f t="shared" si="1"/>
        <v>-1</v>
      </c>
    </row>
    <row r="55">
      <c r="A55" s="11" t="str">
        <f>IFERROR(__xludf.DUMMYFUNCTION("""COMPUTED_VALUE"""),"C")</f>
        <v>C</v>
      </c>
      <c r="B55" s="11" t="str">
        <f>IFERROR(__xludf.DUMMYFUNCTION("""COMPUTED_VALUE"""),"Slot - 18")</f>
        <v>Slot - 18</v>
      </c>
      <c r="C55" s="11" t="str">
        <f>IFERROR(__xludf.DUMMYFUNCTION("""COMPUTED_VALUE"""),"19.04.2026")</f>
        <v>19.04.2026</v>
      </c>
      <c r="D55" s="12">
        <f>IFERROR(__xludf.DUMMYFUNCTION("""COMPUTED_VALUE"""),0.6041666666678793)</f>
        <v>0.6041666667</v>
      </c>
      <c r="E55" s="12">
        <f>IFERROR(__xludf.DUMMYFUNCTION("""COMPUTED_VALUE"""),0.6666666666678793)</f>
        <v>0.6666666667</v>
      </c>
      <c r="F55" s="11" t="str">
        <f>IFERROR(__xludf.DUMMYFUNCTION("""COMPUTED_VALUE"""),"CSE365.11")</f>
        <v>CSE365.11</v>
      </c>
      <c r="G55" s="11" t="str">
        <f>IFERROR(__xludf.DUMMYFUNCTION("""COMPUTED_VALUE"""),"Artificial Intelligence")</f>
        <v>Artificial Intelligence</v>
      </c>
      <c r="H55" s="13">
        <f>IFERROR(__xludf.DUMMYFUNCTION("""COMPUTED_VALUE"""),41.0)</f>
        <v>41</v>
      </c>
      <c r="I55" s="11" t="str">
        <f>IFERROR(__xludf.DUMMYFUNCTION("""COMPUTED_VALUE"""),"[BAR] Borhan Ul Arif")</f>
        <v>[BAR] Borhan Ul Arif</v>
      </c>
      <c r="J55" s="13">
        <f t="shared" si="1"/>
        <v>1</v>
      </c>
    </row>
    <row r="56">
      <c r="A56" s="11" t="str">
        <f>IFERROR(__xludf.DUMMYFUNCTION("""COMPUTED_VALUE"""),"C")</f>
        <v>C</v>
      </c>
      <c r="B56" s="11" t="str">
        <f>IFERROR(__xludf.DUMMYFUNCTION("""COMPUTED_VALUE"""),"Slot - 18")</f>
        <v>Slot - 18</v>
      </c>
      <c r="C56" s="11" t="str">
        <f>IFERROR(__xludf.DUMMYFUNCTION("""COMPUTED_VALUE"""),"19.04.2026")</f>
        <v>19.04.2026</v>
      </c>
      <c r="D56" s="12">
        <f>IFERROR(__xludf.DUMMYFUNCTION("""COMPUTED_VALUE"""),0.6041666666678793)</f>
        <v>0.6041666667</v>
      </c>
      <c r="E56" s="12">
        <f>IFERROR(__xludf.DUMMYFUNCTION("""COMPUTED_VALUE"""),0.6666666666678793)</f>
        <v>0.6666666667</v>
      </c>
      <c r="F56" s="11" t="str">
        <f>IFERROR(__xludf.DUMMYFUNCTION("""COMPUTED_VALUE"""),"CSE365.12")</f>
        <v>CSE365.12</v>
      </c>
      <c r="G56" s="11" t="str">
        <f>IFERROR(__xludf.DUMMYFUNCTION("""COMPUTED_VALUE"""),"Artificial Intelligence")</f>
        <v>Artificial Intelligence</v>
      </c>
      <c r="H56" s="13">
        <f>IFERROR(__xludf.DUMMYFUNCTION("""COMPUTED_VALUE"""),41.0)</f>
        <v>41</v>
      </c>
      <c r="I56" s="11" t="str">
        <f>IFERROR(__xludf.DUMMYFUNCTION("""COMPUTED_VALUE"""),"[BAR] Borhan Ul Arif")</f>
        <v>[BAR] Borhan Ul Arif</v>
      </c>
      <c r="J56" s="13">
        <f t="shared" si="1"/>
        <v>1</v>
      </c>
    </row>
    <row r="57">
      <c r="A57" s="11" t="str">
        <f>IFERROR(__xludf.DUMMYFUNCTION("""COMPUTED_VALUE"""),"C")</f>
        <v>C</v>
      </c>
      <c r="B57" s="11" t="str">
        <f>IFERROR(__xludf.DUMMYFUNCTION("""COMPUTED_VALUE"""),"Slot - 19")</f>
        <v>Slot - 19</v>
      </c>
      <c r="C57" s="11" t="str">
        <f>IFERROR(__xludf.DUMMYFUNCTION("""COMPUTED_VALUE"""),"20.04.2026")</f>
        <v>20.04.2026</v>
      </c>
      <c r="D57" s="12">
        <f>IFERROR(__xludf.DUMMYFUNCTION("""COMPUTED_VALUE"""),0.3541666666678793)</f>
        <v>0.3541666667</v>
      </c>
      <c r="E57" s="12">
        <f>IFERROR(__xludf.DUMMYFUNCTION("""COMPUTED_VALUE"""),0.4166666666678793)</f>
        <v>0.4166666667</v>
      </c>
      <c r="F57" s="11" t="str">
        <f>IFERROR(__xludf.DUMMYFUNCTION("""COMPUTED_VALUE"""),"CSE161.7")</f>
        <v>CSE161.7</v>
      </c>
      <c r="G57" s="11" t="str">
        <f>IFERROR(__xludf.DUMMYFUNCTION("""COMPUTED_VALUE"""),"Programming Language I")</f>
        <v>Programming Language I</v>
      </c>
      <c r="H57" s="13">
        <f>IFERROR(__xludf.DUMMYFUNCTION("""COMPUTED_VALUE"""),42.0)</f>
        <v>42</v>
      </c>
      <c r="I57" s="11" t="str">
        <f>IFERROR(__xludf.DUMMYFUNCTION("""COMPUTED_VALUE"""),"[BAR] Borhan Ul Arif")</f>
        <v>[BAR] Borhan Ul Arif</v>
      </c>
      <c r="J57" s="13">
        <f t="shared" si="1"/>
        <v>1</v>
      </c>
    </row>
    <row r="58">
      <c r="A58" s="11" t="str">
        <f>IFERROR(__xludf.DUMMYFUNCTION("""COMPUTED_VALUE"""),"C")</f>
        <v>C</v>
      </c>
      <c r="B58" s="11" t="str">
        <f>IFERROR(__xludf.DUMMYFUNCTION("""COMPUTED_VALUE"""),"Slot - 19")</f>
        <v>Slot - 19</v>
      </c>
      <c r="C58" s="11" t="str">
        <f>IFERROR(__xludf.DUMMYFUNCTION("""COMPUTED_VALUE"""),"20.04.2026")</f>
        <v>20.04.2026</v>
      </c>
      <c r="D58" s="12">
        <f>IFERROR(__xludf.DUMMYFUNCTION("""COMPUTED_VALUE"""),0.3541666666678793)</f>
        <v>0.3541666667</v>
      </c>
      <c r="E58" s="12">
        <f>IFERROR(__xludf.DUMMYFUNCTION("""COMPUTED_VALUE"""),0.4166666666678793)</f>
        <v>0.4166666667</v>
      </c>
      <c r="F58" s="11" t="str">
        <f>IFERROR(__xludf.DUMMYFUNCTION("""COMPUTED_VALUE"""),"CSE161.8")</f>
        <v>CSE161.8</v>
      </c>
      <c r="G58" s="11" t="str">
        <f>IFERROR(__xludf.DUMMYFUNCTION("""COMPUTED_VALUE"""),"Programming Language I")</f>
        <v>Programming Language I</v>
      </c>
      <c r="H58" s="13">
        <f>IFERROR(__xludf.DUMMYFUNCTION("""COMPUTED_VALUE"""),43.0)</f>
        <v>43</v>
      </c>
      <c r="I58" s="11" t="str">
        <f>IFERROR(__xludf.DUMMYFUNCTION("""COMPUTED_VALUE"""),"[BAR] Borhan Ul Arif")</f>
        <v>[BAR] Borhan Ul Arif</v>
      </c>
      <c r="J58" s="13">
        <f t="shared" si="1"/>
        <v>1</v>
      </c>
    </row>
    <row r="59">
      <c r="A59" s="11" t="str">
        <f>IFERROR(__xludf.DUMMYFUNCTION("""COMPUTED_VALUE"""),"D")</f>
        <v>D</v>
      </c>
      <c r="B59" s="11" t="str">
        <f>IFERROR(__xludf.DUMMYFUNCTION("""COMPUTED_VALUE"""),"Slot - E")</f>
        <v>Slot - E</v>
      </c>
      <c r="C59" s="11" t="str">
        <f>IFERROR(__xludf.DUMMYFUNCTION("""COMPUTED_VALUE"""),"18.04.2026")</f>
        <v>18.04.2026</v>
      </c>
      <c r="D59" s="12">
        <f>IFERROR(__xludf.DUMMYFUNCTION("""COMPUTED_VALUE"""),0.6666666666678793)</f>
        <v>0.6666666667</v>
      </c>
      <c r="E59" s="12">
        <f>IFERROR(__xludf.DUMMYFUNCTION("""COMPUTED_VALUE"""),0.7291666666678793)</f>
        <v>0.7291666667</v>
      </c>
      <c r="F59" s="11" t="str">
        <f>IFERROR(__xludf.DUMMYFUNCTION("""COMPUTED_VALUE"""),"CSE359.10")</f>
        <v>CSE359.10</v>
      </c>
      <c r="G59" s="11" t="str">
        <f>IFERROR(__xludf.DUMMYFUNCTION("""COMPUTED_VALUE"""),"Graph Theory")</f>
        <v>Graph Theory</v>
      </c>
      <c r="H59" s="13">
        <f>IFERROR(__xludf.DUMMYFUNCTION("""COMPUTED_VALUE"""),42.0)</f>
        <v>42</v>
      </c>
      <c r="I59" s="11" t="str">
        <f>IFERROR(__xludf.DUMMYFUNCTION("""COMPUTED_VALUE"""),"[BBA] Bulbul Ahmed")</f>
        <v>[BBA] Bulbul Ahmed</v>
      </c>
      <c r="J59" s="13">
        <f t="shared" si="1"/>
        <v>-1</v>
      </c>
    </row>
    <row r="60">
      <c r="A60" s="11" t="str">
        <f>IFERROR(__xludf.DUMMYFUNCTION("""COMPUTED_VALUE"""),"D")</f>
        <v>D</v>
      </c>
      <c r="B60" s="11" t="str">
        <f>IFERROR(__xludf.DUMMYFUNCTION("""COMPUTED_VALUE"""),"Slot - F")</f>
        <v>Slot - F</v>
      </c>
      <c r="C60" s="11" t="str">
        <f>IFERROR(__xludf.DUMMYFUNCTION("""COMPUTED_VALUE"""),"18.04.2026")</f>
        <v>18.04.2026</v>
      </c>
      <c r="D60" s="12">
        <f>IFERROR(__xludf.DUMMYFUNCTION("""COMPUTED_VALUE"""),0.7916666666678793)</f>
        <v>0.7916666667</v>
      </c>
      <c r="E60" s="12">
        <f>IFERROR(__xludf.DUMMYFUNCTION("""COMPUTED_VALUE"""),0.8541666666678793)</f>
        <v>0.8541666667</v>
      </c>
      <c r="F60" s="11" t="str">
        <f>IFERROR(__xludf.DUMMYFUNCTION("""COMPUTED_VALUE"""),"CSE359.9")</f>
        <v>CSE359.9</v>
      </c>
      <c r="G60" s="11" t="str">
        <f>IFERROR(__xludf.DUMMYFUNCTION("""COMPUTED_VALUE"""),"Graph Theory")</f>
        <v>Graph Theory</v>
      </c>
      <c r="H60" s="13">
        <f>IFERROR(__xludf.DUMMYFUNCTION("""COMPUTED_VALUE"""),40.0)</f>
        <v>40</v>
      </c>
      <c r="I60" s="11" t="str">
        <f>IFERROR(__xludf.DUMMYFUNCTION("""COMPUTED_VALUE"""),"[BBA] Bulbul Ahmed")</f>
        <v>[BBA] Bulbul Ahmed</v>
      </c>
      <c r="J60" s="13">
        <f t="shared" si="1"/>
        <v>-1</v>
      </c>
    </row>
    <row r="61">
      <c r="A61" s="11" t="str">
        <f>IFERROR(__xludf.DUMMYFUNCTION("""COMPUTED_VALUE"""),"C")</f>
        <v>C</v>
      </c>
      <c r="B61" s="11" t="str">
        <f>IFERROR(__xludf.DUMMYFUNCTION("""COMPUTED_VALUE"""),"Slot - 08")</f>
        <v>Slot - 08</v>
      </c>
      <c r="C61" s="11" t="str">
        <f>IFERROR(__xludf.DUMMYFUNCTION("""COMPUTED_VALUE"""),"15.04.2026")</f>
        <v>15.04.2026</v>
      </c>
      <c r="D61" s="12">
        <f>IFERROR(__xludf.DUMMYFUNCTION("""COMPUTED_VALUE"""),0.4791666666678793)</f>
        <v>0.4791666667</v>
      </c>
      <c r="E61" s="12">
        <f>IFERROR(__xludf.DUMMYFUNCTION("""COMPUTED_VALUE"""),0.5416666666678793)</f>
        <v>0.5416666667</v>
      </c>
      <c r="F61" s="11" t="str">
        <f>IFERROR(__xludf.DUMMYFUNCTION("""COMPUTED_VALUE"""),"CSE363.4")</f>
        <v>CSE363.4</v>
      </c>
      <c r="G61" s="11" t="str">
        <f>IFERROR(__xludf.DUMMYFUNCTION("""COMPUTED_VALUE"""),"Microprocessor Design &amp; Assembly Language Programming")</f>
        <v>Microprocessor Design &amp; Assembly Language Programming</v>
      </c>
      <c r="H61" s="13">
        <f>IFERROR(__xludf.DUMMYFUNCTION("""COMPUTED_VALUE"""),40.0)</f>
        <v>40</v>
      </c>
      <c r="I61" s="11" t="str">
        <f>IFERROR(__xludf.DUMMYFUNCTION("""COMPUTED_VALUE"""),"[BIN] Farsha Bindu")</f>
        <v>[BIN] Farsha Bindu</v>
      </c>
      <c r="J61" s="13">
        <f t="shared" si="1"/>
        <v>1</v>
      </c>
    </row>
    <row r="62">
      <c r="A62" s="11" t="str">
        <f>IFERROR(__xludf.DUMMYFUNCTION("""COMPUTED_VALUE"""),"C")</f>
        <v>C</v>
      </c>
      <c r="B62" s="11" t="str">
        <f>IFERROR(__xludf.DUMMYFUNCTION("""COMPUTED_VALUE"""),"Slot - 05")</f>
        <v>Slot - 05</v>
      </c>
      <c r="C62" s="11" t="str">
        <f>IFERROR(__xludf.DUMMYFUNCTION("""COMPUTED_VALUE"""),"13.04.2026")</f>
        <v>13.04.2026</v>
      </c>
      <c r="D62" s="12">
        <f>IFERROR(__xludf.DUMMYFUNCTION("""COMPUTED_VALUE"""),0.4791666666678793)</f>
        <v>0.4791666667</v>
      </c>
      <c r="E62" s="12">
        <f>IFERROR(__xludf.DUMMYFUNCTION("""COMPUTED_VALUE"""),0.5416666666678793)</f>
        <v>0.5416666667</v>
      </c>
      <c r="F62" s="11" t="str">
        <f>IFERROR(__xludf.DUMMYFUNCTION("""COMPUTED_VALUE"""),"ENG102.31")</f>
        <v>ENG102.31</v>
      </c>
      <c r="G62" s="11" t="str">
        <f>IFERROR(__xludf.DUMMYFUNCTION("""COMPUTED_VALUE"""),"Intermediate English Skills")</f>
        <v>Intermediate English Skills</v>
      </c>
      <c r="H62" s="13">
        <f>IFERROR(__xludf.DUMMYFUNCTION("""COMPUTED_VALUE"""),40.0)</f>
        <v>40</v>
      </c>
      <c r="I62" s="11" t="str">
        <f>IFERROR(__xludf.DUMMYFUNCTION("""COMPUTED_VALUE"""),"[DAFN] Dewan Abul Fatah Naeem")</f>
        <v>[DAFN] Dewan Abul Fatah Naeem</v>
      </c>
      <c r="J62" s="13">
        <f t="shared" si="1"/>
        <v>-1</v>
      </c>
    </row>
    <row r="63">
      <c r="A63" s="11" t="str">
        <f>IFERROR(__xludf.DUMMYFUNCTION("""COMPUTED_VALUE"""),"C")</f>
        <v>C</v>
      </c>
      <c r="B63" s="11" t="str">
        <f>IFERROR(__xludf.DUMMYFUNCTION("""COMPUTED_VALUE"""),"Slot - 05")</f>
        <v>Slot - 05</v>
      </c>
      <c r="C63" s="11" t="str">
        <f>IFERROR(__xludf.DUMMYFUNCTION("""COMPUTED_VALUE"""),"13.04.2026")</f>
        <v>13.04.2026</v>
      </c>
      <c r="D63" s="12">
        <f>IFERROR(__xludf.DUMMYFUNCTION("""COMPUTED_VALUE"""),0.4791666666678793)</f>
        <v>0.4791666667</v>
      </c>
      <c r="E63" s="12">
        <f>IFERROR(__xludf.DUMMYFUNCTION("""COMPUTED_VALUE"""),0.5416666666678793)</f>
        <v>0.5416666667</v>
      </c>
      <c r="F63" s="11" t="str">
        <f>IFERROR(__xludf.DUMMYFUNCTION("""COMPUTED_VALUE"""),"ENG102.33")</f>
        <v>ENG102.33</v>
      </c>
      <c r="G63" s="11" t="str">
        <f>IFERROR(__xludf.DUMMYFUNCTION("""COMPUTED_VALUE"""),"Intermediate English Skills")</f>
        <v>Intermediate English Skills</v>
      </c>
      <c r="H63" s="13">
        <f>IFERROR(__xludf.DUMMYFUNCTION("""COMPUTED_VALUE"""),39.0)</f>
        <v>39</v>
      </c>
      <c r="I63" s="11" t="str">
        <f>IFERROR(__xludf.DUMMYFUNCTION("""COMPUTED_VALUE"""),"[DAFN] Dewan Abul Fatah Naeem")</f>
        <v>[DAFN] Dewan Abul Fatah Naeem</v>
      </c>
      <c r="J63" s="13">
        <f t="shared" si="1"/>
        <v>-1</v>
      </c>
    </row>
    <row r="64">
      <c r="A64" s="11" t="str">
        <f>IFERROR(__xludf.DUMMYFUNCTION("""COMPUTED_VALUE"""),"C")</f>
        <v>C</v>
      </c>
      <c r="B64" s="11" t="str">
        <f>IFERROR(__xludf.DUMMYFUNCTION("""COMPUTED_VALUE"""),"Slot - 06")</f>
        <v>Slot - 06</v>
      </c>
      <c r="C64" s="11" t="str">
        <f>IFERROR(__xludf.DUMMYFUNCTION("""COMPUTED_VALUE"""),"13.04.2026")</f>
        <v>13.04.2026</v>
      </c>
      <c r="D64" s="12">
        <f>IFERROR(__xludf.DUMMYFUNCTION("""COMPUTED_VALUE"""),0.6041666666678793)</f>
        <v>0.6041666667</v>
      </c>
      <c r="E64" s="12">
        <f>IFERROR(__xludf.DUMMYFUNCTION("""COMPUTED_VALUE"""),0.6666666666678793)</f>
        <v>0.6666666667</v>
      </c>
      <c r="F64" s="11" t="str">
        <f>IFERROR(__xludf.DUMMYFUNCTION("""COMPUTED_VALUE"""),"ENG103.31")</f>
        <v>ENG103.31</v>
      </c>
      <c r="G64" s="11" t="str">
        <f>IFERROR(__xludf.DUMMYFUNCTION("""COMPUTED_VALUE"""),"Advanced English Skills")</f>
        <v>Advanced English Skills</v>
      </c>
      <c r="H64" s="13">
        <f>IFERROR(__xludf.DUMMYFUNCTION("""COMPUTED_VALUE"""),40.0)</f>
        <v>40</v>
      </c>
      <c r="I64" s="11" t="str">
        <f>IFERROR(__xludf.DUMMYFUNCTION("""COMPUTED_VALUE"""),"[DAFN] Dewan Abul Fatah Naeem")</f>
        <v>[DAFN] Dewan Abul Fatah Naeem</v>
      </c>
      <c r="J64" s="13">
        <f t="shared" si="1"/>
        <v>-1</v>
      </c>
    </row>
    <row r="65">
      <c r="A65" s="11" t="str">
        <f>IFERROR(__xludf.DUMMYFUNCTION("""COMPUTED_VALUE"""),"C")</f>
        <v>C</v>
      </c>
      <c r="B65" s="11" t="str">
        <f>IFERROR(__xludf.DUMMYFUNCTION("""COMPUTED_VALUE"""),"Slot - 09")</f>
        <v>Slot - 09</v>
      </c>
      <c r="C65" s="11" t="str">
        <f>IFERROR(__xludf.DUMMYFUNCTION("""COMPUTED_VALUE"""),"15.04.2026")</f>
        <v>15.04.2026</v>
      </c>
      <c r="D65" s="12">
        <f>IFERROR(__xludf.DUMMYFUNCTION("""COMPUTED_VALUE"""),0.6041666666678793)</f>
        <v>0.6041666667</v>
      </c>
      <c r="E65" s="12">
        <f>IFERROR(__xludf.DUMMYFUNCTION("""COMPUTED_VALUE"""),0.6666666666678793)</f>
        <v>0.6666666667</v>
      </c>
      <c r="F65" s="11" t="str">
        <f>IFERROR(__xludf.DUMMYFUNCTION("""COMPUTED_VALUE"""),"ENG105.25")</f>
        <v>ENG105.25</v>
      </c>
      <c r="G65" s="11" t="str">
        <f>IFERROR(__xludf.DUMMYFUNCTION("""COMPUTED_VALUE"""),"Public Speaking")</f>
        <v>Public Speaking</v>
      </c>
      <c r="H65" s="13">
        <f>IFERROR(__xludf.DUMMYFUNCTION("""COMPUTED_VALUE"""),30.0)</f>
        <v>30</v>
      </c>
      <c r="I65" s="11" t="str">
        <f>IFERROR(__xludf.DUMMYFUNCTION("""COMPUTED_VALUE"""),"[DAFN] Dewan Abul Fatah Naeem")</f>
        <v>[DAFN] Dewan Abul Fatah Naeem</v>
      </c>
      <c r="J65" s="13">
        <f t="shared" si="1"/>
        <v>-1</v>
      </c>
    </row>
    <row r="66">
      <c r="A66" s="11" t="str">
        <f>IFERROR(__xludf.DUMMYFUNCTION("""COMPUTED_VALUE"""),"C")</f>
        <v>C</v>
      </c>
      <c r="B66" s="11" t="str">
        <f>IFERROR(__xludf.DUMMYFUNCTION("""COMPUTED_VALUE"""),"Slot - 09")</f>
        <v>Slot - 09</v>
      </c>
      <c r="C66" s="11" t="str">
        <f>IFERROR(__xludf.DUMMYFUNCTION("""COMPUTED_VALUE"""),"15.04.2026")</f>
        <v>15.04.2026</v>
      </c>
      <c r="D66" s="12">
        <f>IFERROR(__xludf.DUMMYFUNCTION("""COMPUTED_VALUE"""),0.6041666666678793)</f>
        <v>0.6041666667</v>
      </c>
      <c r="E66" s="12">
        <f>IFERROR(__xludf.DUMMYFUNCTION("""COMPUTED_VALUE"""),0.6666666666678793)</f>
        <v>0.6666666667</v>
      </c>
      <c r="F66" s="11" t="str">
        <f>IFERROR(__xludf.DUMMYFUNCTION("""COMPUTED_VALUE"""),"ENG105.26")</f>
        <v>ENG105.26</v>
      </c>
      <c r="G66" s="11" t="str">
        <f>IFERROR(__xludf.DUMMYFUNCTION("""COMPUTED_VALUE"""),"Public Speaking")</f>
        <v>Public Speaking</v>
      </c>
      <c r="H66" s="13">
        <f>IFERROR(__xludf.DUMMYFUNCTION("""COMPUTED_VALUE"""),30.0)</f>
        <v>30</v>
      </c>
      <c r="I66" s="11" t="str">
        <f>IFERROR(__xludf.DUMMYFUNCTION("""COMPUTED_VALUE"""),"[DAFN] Dewan Abul Fatah Naeem")</f>
        <v>[DAFN] Dewan Abul Fatah Naeem</v>
      </c>
      <c r="J66" s="13">
        <f t="shared" si="1"/>
        <v>-1</v>
      </c>
    </row>
    <row r="67">
      <c r="A67" s="11" t="str">
        <f>IFERROR(__xludf.DUMMYFUNCTION("""COMPUTED_VALUE"""),"D")</f>
        <v>D</v>
      </c>
      <c r="B67" s="11" t="str">
        <f>IFERROR(__xludf.DUMMYFUNCTION("""COMPUTED_VALUE"""),"Slot - N")</f>
        <v>Slot - N</v>
      </c>
      <c r="C67" s="11" t="str">
        <f>IFERROR(__xludf.DUMMYFUNCTION("""COMPUTED_VALUE"""),"25.04.2026")</f>
        <v>25.04.2026</v>
      </c>
      <c r="D67" s="12">
        <f>IFERROR(__xludf.DUMMYFUNCTION("""COMPUTED_VALUE"""),0.6666666666678793)</f>
        <v>0.6666666667</v>
      </c>
      <c r="E67" s="12">
        <f>IFERROR(__xludf.DUMMYFUNCTION("""COMPUTED_VALUE"""),0.7291666666678793)</f>
        <v>0.7291666667</v>
      </c>
      <c r="F67" s="11" t="str">
        <f>IFERROR(__xludf.DUMMYFUNCTION("""COMPUTED_VALUE"""),"CSE441.4")</f>
        <v>CSE441.4</v>
      </c>
      <c r="G67" s="11" t="str">
        <f>IFERROR(__xludf.DUMMYFUNCTION("""COMPUTED_VALUE"""),"Theory of Computing")</f>
        <v>Theory of Computing</v>
      </c>
      <c r="H67" s="13">
        <f>IFERROR(__xludf.DUMMYFUNCTION("""COMPUTED_VALUE"""),42.0)</f>
        <v>42</v>
      </c>
      <c r="I67" s="11" t="str">
        <f>IFERROR(__xludf.DUMMYFUNCTION("""COMPUTED_VALUE"""),"[DAHO] Dr. Amran Hossain")</f>
        <v>[DAHO] Dr. Amran Hossain</v>
      </c>
      <c r="J67" s="13">
        <f t="shared" si="1"/>
        <v>1</v>
      </c>
    </row>
    <row r="68">
      <c r="A68" s="11" t="str">
        <f>IFERROR(__xludf.DUMMYFUNCTION("""COMPUTED_VALUE"""),"D")</f>
        <v>D</v>
      </c>
      <c r="B68" s="11" t="str">
        <f>IFERROR(__xludf.DUMMYFUNCTION("""COMPUTED_VALUE"""),"Slot - N")</f>
        <v>Slot - N</v>
      </c>
      <c r="C68" s="11" t="str">
        <f>IFERROR(__xludf.DUMMYFUNCTION("""COMPUTED_VALUE"""),"25.04.2026")</f>
        <v>25.04.2026</v>
      </c>
      <c r="D68" s="12">
        <f>IFERROR(__xludf.DUMMYFUNCTION("""COMPUTED_VALUE"""),0.6666666666678793)</f>
        <v>0.6666666667</v>
      </c>
      <c r="E68" s="12">
        <f>IFERROR(__xludf.DUMMYFUNCTION("""COMPUTED_VALUE"""),0.7291666666678793)</f>
        <v>0.7291666667</v>
      </c>
      <c r="F68" s="11" t="str">
        <f>IFERROR(__xludf.DUMMYFUNCTION("""COMPUTED_VALUE"""),"CSE441.6")</f>
        <v>CSE441.6</v>
      </c>
      <c r="G68" s="11" t="str">
        <f>IFERROR(__xludf.DUMMYFUNCTION("""COMPUTED_VALUE"""),"Theory of Computing")</f>
        <v>Theory of Computing</v>
      </c>
      <c r="H68" s="13">
        <f>IFERROR(__xludf.DUMMYFUNCTION("""COMPUTED_VALUE"""),40.0)</f>
        <v>40</v>
      </c>
      <c r="I68" s="11" t="str">
        <f>IFERROR(__xludf.DUMMYFUNCTION("""COMPUTED_VALUE"""),"[DAHO] Dr. Amran Hossain")</f>
        <v>[DAHO] Dr. Amran Hossain</v>
      </c>
      <c r="J68" s="13">
        <f t="shared" si="1"/>
        <v>1</v>
      </c>
    </row>
    <row r="69">
      <c r="A69" s="11" t="str">
        <f>IFERROR(__xludf.DUMMYFUNCTION("""COMPUTED_VALUE"""),"D")</f>
        <v>D</v>
      </c>
      <c r="B69" s="11" t="str">
        <f>IFERROR(__xludf.DUMMYFUNCTION("""COMPUTED_VALUE"""),"Slot - O")</f>
        <v>Slot - O</v>
      </c>
      <c r="C69" s="11" t="str">
        <f>IFERROR(__xludf.DUMMYFUNCTION("""COMPUTED_VALUE"""),"25.04.2026")</f>
        <v>25.04.2026</v>
      </c>
      <c r="D69" s="12">
        <f>IFERROR(__xludf.DUMMYFUNCTION("""COMPUTED_VALUE"""),0.7916666666678793)</f>
        <v>0.7916666667</v>
      </c>
      <c r="E69" s="12">
        <f>IFERROR(__xludf.DUMMYFUNCTION("""COMPUTED_VALUE"""),0.8541666666678793)</f>
        <v>0.8541666667</v>
      </c>
      <c r="F69" s="11" t="str">
        <f>IFERROR(__xludf.DUMMYFUNCTION("""COMPUTED_VALUE"""),"CSE441.5")</f>
        <v>CSE441.5</v>
      </c>
      <c r="G69" s="11" t="str">
        <f>IFERROR(__xludf.DUMMYFUNCTION("""COMPUTED_VALUE"""),"Theory of Computing")</f>
        <v>Theory of Computing</v>
      </c>
      <c r="H69" s="13">
        <f>IFERROR(__xludf.DUMMYFUNCTION("""COMPUTED_VALUE"""),42.0)</f>
        <v>42</v>
      </c>
      <c r="I69" s="11" t="str">
        <f>IFERROR(__xludf.DUMMYFUNCTION("""COMPUTED_VALUE"""),"[DAHO] Dr. Amran Hossain")</f>
        <v>[DAHO] Dr. Amran Hossain</v>
      </c>
      <c r="J69" s="13">
        <f t="shared" si="1"/>
        <v>1</v>
      </c>
    </row>
    <row r="70">
      <c r="A70" s="11" t="str">
        <f>IFERROR(__xludf.DUMMYFUNCTION("""COMPUTED_VALUE"""),"C")</f>
        <v>C</v>
      </c>
      <c r="B70" s="11" t="str">
        <f>IFERROR(__xludf.DUMMYFUNCTION("""COMPUTED_VALUE"""),"Slot - 16")</f>
        <v>Slot - 16</v>
      </c>
      <c r="C70" s="11" t="str">
        <f>IFERROR(__xludf.DUMMYFUNCTION("""COMPUTED_VALUE"""),"19.04.2026")</f>
        <v>19.04.2026</v>
      </c>
      <c r="D70" s="12">
        <f>IFERROR(__xludf.DUMMYFUNCTION("""COMPUTED_VALUE"""),0.3541666666678793)</f>
        <v>0.3541666667</v>
      </c>
      <c r="E70" s="12">
        <f>IFERROR(__xludf.DUMMYFUNCTION("""COMPUTED_VALUE"""),0.4166666666678793)</f>
        <v>0.4166666667</v>
      </c>
      <c r="F70" s="11" t="str">
        <f>IFERROR(__xludf.DUMMYFUNCTION("""COMPUTED_VALUE"""),"SOC341.1")</f>
        <v>SOC341.1</v>
      </c>
      <c r="G70" s="11" t="str">
        <f>IFERROR(__xludf.DUMMYFUNCTION("""COMPUTED_VALUE"""),"Engineering Ethics")</f>
        <v>Engineering Ethics</v>
      </c>
      <c r="H70" s="13">
        <f>IFERROR(__xludf.DUMMYFUNCTION("""COMPUTED_VALUE"""),42.0)</f>
        <v>42</v>
      </c>
      <c r="I70" s="11" t="str">
        <f>IFERROR(__xludf.DUMMYFUNCTION("""COMPUTED_VALUE"""),"[DAKM] Prof. Dr. Abdul Kadar Muhammad Masum")</f>
        <v>[DAKM] Prof. Dr. Abdul Kadar Muhammad Masum</v>
      </c>
      <c r="J70" s="13">
        <f t="shared" si="1"/>
        <v>-1</v>
      </c>
    </row>
    <row r="71">
      <c r="A71" s="11" t="str">
        <f>IFERROR(__xludf.DUMMYFUNCTION("""COMPUTED_VALUE"""),"C")</f>
        <v>C</v>
      </c>
      <c r="B71" s="11" t="str">
        <f>IFERROR(__xludf.DUMMYFUNCTION("""COMPUTED_VALUE"""),"Slot - 16")</f>
        <v>Slot - 16</v>
      </c>
      <c r="C71" s="11" t="str">
        <f>IFERROR(__xludf.DUMMYFUNCTION("""COMPUTED_VALUE"""),"19.04.2026")</f>
        <v>19.04.2026</v>
      </c>
      <c r="D71" s="12">
        <f>IFERROR(__xludf.DUMMYFUNCTION("""COMPUTED_VALUE"""),0.3541666666678793)</f>
        <v>0.3541666667</v>
      </c>
      <c r="E71" s="12">
        <f>IFERROR(__xludf.DUMMYFUNCTION("""COMPUTED_VALUE"""),0.4166666666678793)</f>
        <v>0.4166666667</v>
      </c>
      <c r="F71" s="11" t="str">
        <f>IFERROR(__xludf.DUMMYFUNCTION("""COMPUTED_VALUE"""),"SOC341.2")</f>
        <v>SOC341.2</v>
      </c>
      <c r="G71" s="11" t="str">
        <f>IFERROR(__xludf.DUMMYFUNCTION("""COMPUTED_VALUE"""),"Engineering Ethics")</f>
        <v>Engineering Ethics</v>
      </c>
      <c r="H71" s="13">
        <f>IFERROR(__xludf.DUMMYFUNCTION("""COMPUTED_VALUE"""),42.0)</f>
        <v>42</v>
      </c>
      <c r="I71" s="11" t="str">
        <f>IFERROR(__xludf.DUMMYFUNCTION("""COMPUTED_VALUE"""),"[DAKM] Prof. Dr. Abdul Kadar Muhammad Masum")</f>
        <v>[DAKM] Prof. Dr. Abdul Kadar Muhammad Masum</v>
      </c>
      <c r="J71" s="13">
        <f t="shared" si="1"/>
        <v>-1</v>
      </c>
    </row>
    <row r="72">
      <c r="A72" s="11" t="str">
        <f>IFERROR(__xludf.DUMMYFUNCTION("""COMPUTED_VALUE"""),"C")</f>
        <v>C</v>
      </c>
      <c r="B72" s="11" t="str">
        <f>IFERROR(__xludf.DUMMYFUNCTION("""COMPUTED_VALUE"""),"Slot - 16")</f>
        <v>Slot - 16</v>
      </c>
      <c r="C72" s="11" t="str">
        <f>IFERROR(__xludf.DUMMYFUNCTION("""COMPUTED_VALUE"""),"19.04.2026")</f>
        <v>19.04.2026</v>
      </c>
      <c r="D72" s="12">
        <f>IFERROR(__xludf.DUMMYFUNCTION("""COMPUTED_VALUE"""),0.3541666666678793)</f>
        <v>0.3541666667</v>
      </c>
      <c r="E72" s="12">
        <f>IFERROR(__xludf.DUMMYFUNCTION("""COMPUTED_VALUE"""),0.4166666666678793)</f>
        <v>0.4166666667</v>
      </c>
      <c r="F72" s="11" t="str">
        <f>IFERROR(__xludf.DUMMYFUNCTION("""COMPUTED_VALUE"""),"SOC341.3")</f>
        <v>SOC341.3</v>
      </c>
      <c r="G72" s="11" t="str">
        <f>IFERROR(__xludf.DUMMYFUNCTION("""COMPUTED_VALUE"""),"Engineering Ethics")</f>
        <v>Engineering Ethics</v>
      </c>
      <c r="H72" s="13">
        <f>IFERROR(__xludf.DUMMYFUNCTION("""COMPUTED_VALUE"""),42.0)</f>
        <v>42</v>
      </c>
      <c r="I72" s="11" t="str">
        <f>IFERROR(__xludf.DUMMYFUNCTION("""COMPUTED_VALUE"""),"[DAKM] Prof. Dr. Abdul Kadar Muhammad Masum")</f>
        <v>[DAKM] Prof. Dr. Abdul Kadar Muhammad Masum</v>
      </c>
      <c r="J72" s="13">
        <f t="shared" si="1"/>
        <v>-1</v>
      </c>
    </row>
    <row r="73">
      <c r="A73" s="11" t="str">
        <f>IFERROR(__xludf.DUMMYFUNCTION("""COMPUTED_VALUE"""),"C")</f>
        <v>C</v>
      </c>
      <c r="B73" s="11" t="str">
        <f>IFERROR(__xludf.DUMMYFUNCTION("""COMPUTED_VALUE"""),"Slot - 11")</f>
        <v>Slot - 11</v>
      </c>
      <c r="C73" s="11" t="str">
        <f>IFERROR(__xludf.DUMMYFUNCTION("""COMPUTED_VALUE"""),"16.04.2026")</f>
        <v>16.04.2026</v>
      </c>
      <c r="D73" s="12">
        <f>IFERROR(__xludf.DUMMYFUNCTION("""COMPUTED_VALUE"""),0.4791666666678793)</f>
        <v>0.4791666667</v>
      </c>
      <c r="E73" s="12">
        <f>IFERROR(__xludf.DUMMYFUNCTION("""COMPUTED_VALUE"""),0.5416666666678793)</f>
        <v>0.5416666667</v>
      </c>
      <c r="F73" s="11" t="str">
        <f>IFERROR(__xludf.DUMMYFUNCTION("""COMPUTED_VALUE"""),"PHY1103.7")</f>
        <v>PHY1103.7</v>
      </c>
      <c r="G73" s="11" t="str">
        <f>IFERROR(__xludf.DUMMYFUNCTION("""COMPUTED_VALUE"""),"Physics I")</f>
        <v>Physics I</v>
      </c>
      <c r="H73" s="13">
        <f>IFERROR(__xludf.DUMMYFUNCTION("""COMPUTED_VALUE"""),31.0)</f>
        <v>31</v>
      </c>
      <c r="I73" s="11" t="str">
        <f>IFERROR(__xludf.DUMMYFUNCTION("""COMPUTED_VALUE"""),"[DAM] Dr. Abdulla Al Momin")</f>
        <v>[DAM] Dr. Abdulla Al Momin</v>
      </c>
      <c r="J73" s="13">
        <f t="shared" si="1"/>
        <v>1</v>
      </c>
    </row>
    <row r="74">
      <c r="A74" s="11" t="str">
        <f>IFERROR(__xludf.DUMMYFUNCTION("""COMPUTED_VALUE"""),"C")</f>
        <v>C</v>
      </c>
      <c r="B74" s="11" t="str">
        <f>IFERROR(__xludf.DUMMYFUNCTION("""COMPUTED_VALUE"""),"Slot - 11")</f>
        <v>Slot - 11</v>
      </c>
      <c r="C74" s="11" t="str">
        <f>IFERROR(__xludf.DUMMYFUNCTION("""COMPUTED_VALUE"""),"16.04.2026")</f>
        <v>16.04.2026</v>
      </c>
      <c r="D74" s="12">
        <f>IFERROR(__xludf.DUMMYFUNCTION("""COMPUTED_VALUE"""),0.4791666666678793)</f>
        <v>0.4791666667</v>
      </c>
      <c r="E74" s="12">
        <f>IFERROR(__xludf.DUMMYFUNCTION("""COMPUTED_VALUE"""),0.5416666666678793)</f>
        <v>0.5416666667</v>
      </c>
      <c r="F74" s="11" t="str">
        <f>IFERROR(__xludf.DUMMYFUNCTION("""COMPUTED_VALUE"""),"PHY1103.9")</f>
        <v>PHY1103.9</v>
      </c>
      <c r="G74" s="11" t="str">
        <f>IFERROR(__xludf.DUMMYFUNCTION("""COMPUTED_VALUE"""),"Physics I")</f>
        <v>Physics I</v>
      </c>
      <c r="H74" s="13">
        <f>IFERROR(__xludf.DUMMYFUNCTION("""COMPUTED_VALUE"""),32.0)</f>
        <v>32</v>
      </c>
      <c r="I74" s="11" t="str">
        <f>IFERROR(__xludf.DUMMYFUNCTION("""COMPUTED_VALUE"""),"[DAM] Dr. Abdulla Al Momin")</f>
        <v>[DAM] Dr. Abdulla Al Momin</v>
      </c>
      <c r="J74" s="13">
        <f t="shared" si="1"/>
        <v>1</v>
      </c>
    </row>
    <row r="75">
      <c r="A75" s="11" t="str">
        <f>IFERROR(__xludf.DUMMYFUNCTION("""COMPUTED_VALUE"""),"D")</f>
        <v>D</v>
      </c>
      <c r="B75" s="11" t="str">
        <f>IFERROR(__xludf.DUMMYFUNCTION("""COMPUTED_VALUE"""),"Slot - L")</f>
        <v>Slot - L</v>
      </c>
      <c r="C75" s="11" t="str">
        <f>IFERROR(__xludf.DUMMYFUNCTION("""COMPUTED_VALUE"""),"25.04.2026")</f>
        <v>25.04.2026</v>
      </c>
      <c r="D75" s="12">
        <f>IFERROR(__xludf.DUMMYFUNCTION("""COMPUTED_VALUE"""),0.4583333333321207)</f>
        <v>0.4583333333</v>
      </c>
      <c r="E75" s="12">
        <f>IFERROR(__xludf.DUMMYFUNCTION("""COMPUTED_VALUE"""),0.5208333333321207)</f>
        <v>0.5208333333</v>
      </c>
      <c r="F75" s="11" t="str">
        <f>IFERROR(__xludf.DUMMYFUNCTION("""COMPUTED_VALUE"""),"ENG105.27")</f>
        <v>ENG105.27</v>
      </c>
      <c r="G75" s="11" t="str">
        <f>IFERROR(__xludf.DUMMYFUNCTION("""COMPUTED_VALUE"""),"Public Speaking")</f>
        <v>Public Speaking</v>
      </c>
      <c r="H75" s="13">
        <f>IFERROR(__xludf.DUMMYFUNCTION("""COMPUTED_VALUE"""),33.0)</f>
        <v>33</v>
      </c>
      <c r="I75" s="11" t="str">
        <f>IFERROR(__xludf.DUMMYFUNCTION("""COMPUTED_VALUE"""),"[DAR] Dr. Md. Abdur Rouf")</f>
        <v>[DAR] Dr. Md. Abdur Rouf</v>
      </c>
      <c r="J75" s="13">
        <f t="shared" si="1"/>
        <v>-1</v>
      </c>
    </row>
    <row r="76">
      <c r="A76" s="11" t="str">
        <f>IFERROR(__xludf.DUMMYFUNCTION("""COMPUTED_VALUE"""),"D")</f>
        <v>D</v>
      </c>
      <c r="B76" s="11" t="str">
        <f>IFERROR(__xludf.DUMMYFUNCTION("""COMPUTED_VALUE"""),"Slot - L")</f>
        <v>Slot - L</v>
      </c>
      <c r="C76" s="11" t="str">
        <f>IFERROR(__xludf.DUMMYFUNCTION("""COMPUTED_VALUE"""),"25.04.2026")</f>
        <v>25.04.2026</v>
      </c>
      <c r="D76" s="12">
        <f>IFERROR(__xludf.DUMMYFUNCTION("""COMPUTED_VALUE"""),0.4583333333321207)</f>
        <v>0.4583333333</v>
      </c>
      <c r="E76" s="12">
        <f>IFERROR(__xludf.DUMMYFUNCTION("""COMPUTED_VALUE"""),0.5208333333321207)</f>
        <v>0.5208333333</v>
      </c>
      <c r="F76" s="11" t="str">
        <f>IFERROR(__xludf.DUMMYFUNCTION("""COMPUTED_VALUE"""),"ENG105.28")</f>
        <v>ENG105.28</v>
      </c>
      <c r="G76" s="11" t="str">
        <f>IFERROR(__xludf.DUMMYFUNCTION("""COMPUTED_VALUE"""),"Public Speaking")</f>
        <v>Public Speaking</v>
      </c>
      <c r="H76" s="13">
        <f>IFERROR(__xludf.DUMMYFUNCTION("""COMPUTED_VALUE"""),31.0)</f>
        <v>31</v>
      </c>
      <c r="I76" s="11" t="str">
        <f>IFERROR(__xludf.DUMMYFUNCTION("""COMPUTED_VALUE"""),"[DAR] Dr. Md. Abdur Rouf")</f>
        <v>[DAR] Dr. Md. Abdur Rouf</v>
      </c>
      <c r="J76" s="13">
        <f t="shared" si="1"/>
        <v>-1</v>
      </c>
    </row>
    <row r="77">
      <c r="A77" s="11" t="str">
        <f>IFERROR(__xludf.DUMMYFUNCTION("""COMPUTED_VALUE"""),"C")</f>
        <v>C</v>
      </c>
      <c r="B77" s="11" t="str">
        <f>IFERROR(__xludf.DUMMYFUNCTION("""COMPUTED_VALUE"""),"Slot - 11")</f>
        <v>Slot - 11</v>
      </c>
      <c r="C77" s="11" t="str">
        <f>IFERROR(__xludf.DUMMYFUNCTION("""COMPUTED_VALUE"""),"16.04.2026")</f>
        <v>16.04.2026</v>
      </c>
      <c r="D77" s="12">
        <f>IFERROR(__xludf.DUMMYFUNCTION("""COMPUTED_VALUE"""),0.4791666666678793)</f>
        <v>0.4791666667</v>
      </c>
      <c r="E77" s="12">
        <f>IFERROR(__xludf.DUMMYFUNCTION("""COMPUTED_VALUE"""),0.5416666666678793)</f>
        <v>0.5416666667</v>
      </c>
      <c r="F77" s="11" t="str">
        <f>IFERROR(__xludf.DUMMYFUNCTION("""COMPUTED_VALUE"""),"CSE365.1")</f>
        <v>CSE365.1</v>
      </c>
      <c r="G77" s="11" t="str">
        <f>IFERROR(__xludf.DUMMYFUNCTION("""COMPUTED_VALUE"""),"Artificial Intelligence")</f>
        <v>Artificial Intelligence</v>
      </c>
      <c r="H77" s="13">
        <f>IFERROR(__xludf.DUMMYFUNCTION("""COMPUTED_VALUE"""),41.0)</f>
        <v>41</v>
      </c>
      <c r="I77" s="11" t="str">
        <f>IFERROR(__xludf.DUMMYFUNCTION("""COMPUTED_VALUE"""),"[DEMF] Prof. Dr. Dewan Md. Farid")</f>
        <v>[DEMF] Prof. Dr. Dewan Md. Farid</v>
      </c>
      <c r="J77" s="13">
        <f t="shared" si="1"/>
        <v>1</v>
      </c>
    </row>
    <row r="78">
      <c r="A78" s="11" t="str">
        <f>IFERROR(__xludf.DUMMYFUNCTION("""COMPUTED_VALUE"""),"C")</f>
        <v>C</v>
      </c>
      <c r="B78" s="11" t="str">
        <f>IFERROR(__xludf.DUMMYFUNCTION("""COMPUTED_VALUE"""),"Slot - 11")</f>
        <v>Slot - 11</v>
      </c>
      <c r="C78" s="11" t="str">
        <f>IFERROR(__xludf.DUMMYFUNCTION("""COMPUTED_VALUE"""),"16.04.2026")</f>
        <v>16.04.2026</v>
      </c>
      <c r="D78" s="12">
        <f>IFERROR(__xludf.DUMMYFUNCTION("""COMPUTED_VALUE"""),0.4791666666678793)</f>
        <v>0.4791666667</v>
      </c>
      <c r="E78" s="12">
        <f>IFERROR(__xludf.DUMMYFUNCTION("""COMPUTED_VALUE"""),0.5416666666678793)</f>
        <v>0.5416666667</v>
      </c>
      <c r="F78" s="11" t="str">
        <f>IFERROR(__xludf.DUMMYFUNCTION("""COMPUTED_VALUE"""),"CSE365.2")</f>
        <v>CSE365.2</v>
      </c>
      <c r="G78" s="11" t="str">
        <f>IFERROR(__xludf.DUMMYFUNCTION("""COMPUTED_VALUE"""),"Artificial Intelligence")</f>
        <v>Artificial Intelligence</v>
      </c>
      <c r="H78" s="13">
        <f>IFERROR(__xludf.DUMMYFUNCTION("""COMPUTED_VALUE"""),41.0)</f>
        <v>41</v>
      </c>
      <c r="I78" s="11" t="str">
        <f>IFERROR(__xludf.DUMMYFUNCTION("""COMPUTED_VALUE"""),"[DEMF] Prof. Dr. Dewan Md. Farid")</f>
        <v>[DEMF] Prof. Dr. Dewan Md. Farid</v>
      </c>
      <c r="J78" s="13">
        <f t="shared" si="1"/>
        <v>1</v>
      </c>
    </row>
    <row r="79">
      <c r="A79" s="11" t="str">
        <f>IFERROR(__xludf.DUMMYFUNCTION("""COMPUTED_VALUE"""),"C")</f>
        <v>C</v>
      </c>
      <c r="B79" s="11" t="str">
        <f>IFERROR(__xludf.DUMMYFUNCTION("""COMPUTED_VALUE"""),"Slot - 11")</f>
        <v>Slot - 11</v>
      </c>
      <c r="C79" s="11" t="str">
        <f>IFERROR(__xludf.DUMMYFUNCTION("""COMPUTED_VALUE"""),"16.04.2026")</f>
        <v>16.04.2026</v>
      </c>
      <c r="D79" s="12">
        <f>IFERROR(__xludf.DUMMYFUNCTION("""COMPUTED_VALUE"""),0.4791666666678793)</f>
        <v>0.4791666667</v>
      </c>
      <c r="E79" s="12">
        <f>IFERROR(__xludf.DUMMYFUNCTION("""COMPUTED_VALUE"""),0.5416666666678793)</f>
        <v>0.5416666667</v>
      </c>
      <c r="F79" s="11" t="str">
        <f>IFERROR(__xludf.DUMMYFUNCTION("""COMPUTED_VALUE"""),"CSE365.3")</f>
        <v>CSE365.3</v>
      </c>
      <c r="G79" s="11" t="str">
        <f>IFERROR(__xludf.DUMMYFUNCTION("""COMPUTED_VALUE"""),"Artificial Intelligence")</f>
        <v>Artificial Intelligence</v>
      </c>
      <c r="H79" s="13">
        <f>IFERROR(__xludf.DUMMYFUNCTION("""COMPUTED_VALUE"""),41.0)</f>
        <v>41</v>
      </c>
      <c r="I79" s="11" t="str">
        <f>IFERROR(__xludf.DUMMYFUNCTION("""COMPUTED_VALUE"""),"[DEMF] Prof. Dr. Dewan Md. Farid")</f>
        <v>[DEMF] Prof. Dr. Dewan Md. Farid</v>
      </c>
      <c r="J79" s="13">
        <f t="shared" si="1"/>
        <v>1</v>
      </c>
    </row>
    <row r="80">
      <c r="A80" s="11" t="str">
        <f>IFERROR(__xludf.DUMMYFUNCTION("""COMPUTED_VALUE"""),"D")</f>
        <v>D</v>
      </c>
      <c r="B80" s="11" t="str">
        <f>IFERROR(__xludf.DUMMYFUNCTION("""COMPUTED_VALUE"""),"Slot - H")</f>
        <v>Slot - H</v>
      </c>
      <c r="C80" s="11" t="str">
        <f>IFERROR(__xludf.DUMMYFUNCTION("""COMPUTED_VALUE"""),"24.04.2026")</f>
        <v>24.04.2026</v>
      </c>
      <c r="D80" s="12">
        <f>IFERROR(__xludf.DUMMYFUNCTION("""COMPUTED_VALUE"""),0.4791666666678793)</f>
        <v>0.4791666667</v>
      </c>
      <c r="E80" s="12">
        <f>IFERROR(__xludf.DUMMYFUNCTION("""COMPUTED_VALUE"""),0.5416666666678793)</f>
        <v>0.5416666667</v>
      </c>
      <c r="F80" s="11" t="str">
        <f>IFERROR(__xludf.DUMMYFUNCTION("""COMPUTED_VALUE"""),"PHY161.10")</f>
        <v>PHY161.10</v>
      </c>
      <c r="G80" s="11" t="str">
        <f>IFERROR(__xludf.DUMMYFUNCTION("""COMPUTED_VALUE"""),"Physics I")</f>
        <v>Physics I</v>
      </c>
      <c r="H80" s="13">
        <f>IFERROR(__xludf.DUMMYFUNCTION("""COMPUTED_VALUE"""),19.0)</f>
        <v>19</v>
      </c>
      <c r="I80" s="11" t="str">
        <f>IFERROR(__xludf.DUMMYFUNCTION("""COMPUTED_VALUE"""),"[DHA] Dr. Hasina Akther")</f>
        <v>[DHA] Dr. Hasina Akther</v>
      </c>
      <c r="J80" s="13">
        <f t="shared" si="1"/>
        <v>-1</v>
      </c>
    </row>
    <row r="81">
      <c r="A81" s="11" t="str">
        <f>IFERROR(__xludf.DUMMYFUNCTION("""COMPUTED_VALUE"""),"C")</f>
        <v>C</v>
      </c>
      <c r="B81" s="11" t="str">
        <f>IFERROR(__xludf.DUMMYFUNCTION("""COMPUTED_VALUE"""),"Slot - 21")</f>
        <v>Slot - 21</v>
      </c>
      <c r="C81" s="11" t="str">
        <f>IFERROR(__xludf.DUMMYFUNCTION("""COMPUTED_VALUE"""),"20.04.2026")</f>
        <v>20.04.2026</v>
      </c>
      <c r="D81" s="12">
        <f>IFERROR(__xludf.DUMMYFUNCTION("""COMPUTED_VALUE"""),0.6041666666678793)</f>
        <v>0.6041666667</v>
      </c>
      <c r="E81" s="12">
        <f>IFERROR(__xludf.DUMMYFUNCTION("""COMPUTED_VALUE"""),0.6666666666678793)</f>
        <v>0.6666666667</v>
      </c>
      <c r="F81" s="11" t="str">
        <f>IFERROR(__xludf.DUMMYFUNCTION("""COMPUTED_VALUE"""),"CSE241.8")</f>
        <v>CSE241.8</v>
      </c>
      <c r="G81" s="11" t="str">
        <f>IFERROR(__xludf.DUMMYFUNCTION("""COMPUTED_VALUE"""),"Data Structures")</f>
        <v>Data Structures</v>
      </c>
      <c r="H81" s="13">
        <f>IFERROR(__xludf.DUMMYFUNCTION("""COMPUTED_VALUE"""),33.0)</f>
        <v>33</v>
      </c>
      <c r="I81" s="11" t="str">
        <f>IFERROR(__xludf.DUMMYFUNCTION("""COMPUTED_VALUE"""),"[DJI] Dr. Jakirul Islam")</f>
        <v>[DJI] Dr. Jakirul Islam</v>
      </c>
      <c r="J81" s="13">
        <f t="shared" si="1"/>
        <v>1</v>
      </c>
    </row>
    <row r="82">
      <c r="A82" s="11" t="str">
        <f>IFERROR(__xludf.DUMMYFUNCTION("""COMPUTED_VALUE"""),"C")</f>
        <v>C</v>
      </c>
      <c r="B82" s="11" t="str">
        <f>IFERROR(__xludf.DUMMYFUNCTION("""COMPUTED_VALUE"""),"Slot - 21")</f>
        <v>Slot - 21</v>
      </c>
      <c r="C82" s="11" t="str">
        <f>IFERROR(__xludf.DUMMYFUNCTION("""COMPUTED_VALUE"""),"20.04.2026")</f>
        <v>20.04.2026</v>
      </c>
      <c r="D82" s="12">
        <f>IFERROR(__xludf.DUMMYFUNCTION("""COMPUTED_VALUE"""),0.6041666666678793)</f>
        <v>0.6041666667</v>
      </c>
      <c r="E82" s="12">
        <f>IFERROR(__xludf.DUMMYFUNCTION("""COMPUTED_VALUE"""),0.6666666666678793)</f>
        <v>0.6666666667</v>
      </c>
      <c r="F82" s="11" t="str">
        <f>IFERROR(__xludf.DUMMYFUNCTION("""COMPUTED_VALUE"""),"CSE241.9")</f>
        <v>CSE241.9</v>
      </c>
      <c r="G82" s="11" t="str">
        <f>IFERROR(__xludf.DUMMYFUNCTION("""COMPUTED_VALUE"""),"Data Structures")</f>
        <v>Data Structures</v>
      </c>
      <c r="H82" s="13">
        <f>IFERROR(__xludf.DUMMYFUNCTION("""COMPUTED_VALUE"""),20.0)</f>
        <v>20</v>
      </c>
      <c r="I82" s="11" t="str">
        <f>IFERROR(__xludf.DUMMYFUNCTION("""COMPUTED_VALUE"""),"[DJI] Dr. Jakirul Islam")</f>
        <v>[DJI] Dr. Jakirul Islam</v>
      </c>
      <c r="J82" s="13">
        <f t="shared" si="1"/>
        <v>1</v>
      </c>
    </row>
    <row r="83">
      <c r="A83" s="11" t="str">
        <f>IFERROR(__xludf.DUMMYFUNCTION("""COMPUTED_VALUE"""),"C")</f>
        <v>C</v>
      </c>
      <c r="B83" s="11" t="str">
        <f>IFERROR(__xludf.DUMMYFUNCTION("""COMPUTED_VALUE"""),"Slot - 02")</f>
        <v>Slot - 02</v>
      </c>
      <c r="C83" s="11" t="str">
        <f>IFERROR(__xludf.DUMMYFUNCTION("""COMPUTED_VALUE"""),"12.04.2026")</f>
        <v>12.04.2026</v>
      </c>
      <c r="D83" s="12">
        <f>IFERROR(__xludf.DUMMYFUNCTION("""COMPUTED_VALUE"""),0.4791666666678793)</f>
        <v>0.4791666667</v>
      </c>
      <c r="E83" s="12">
        <f>IFERROR(__xludf.DUMMYFUNCTION("""COMPUTED_VALUE"""),0.5416666666678793)</f>
        <v>0.5416666667</v>
      </c>
      <c r="F83" s="11" t="str">
        <f>IFERROR(__xludf.DUMMYFUNCTION("""COMPUTED_VALUE"""),"EEE1101.3")</f>
        <v>EEE1101.3</v>
      </c>
      <c r="G83" s="11" t="str">
        <f>IFERROR(__xludf.DUMMYFUNCTION("""COMPUTED_VALUE"""),"Electrical Circuits I")</f>
        <v>Electrical Circuits I</v>
      </c>
      <c r="H83" s="13">
        <f>IFERROR(__xludf.DUMMYFUNCTION("""COMPUTED_VALUE"""),3.0)</f>
        <v>3</v>
      </c>
      <c r="I83" s="11" t="str">
        <f>IFERROR(__xludf.DUMMYFUNCTION("""COMPUTED_VALUE"""),"[DLH] Dr. Mohammad Lutful Hakim")</f>
        <v>[DLH] Dr. Mohammad Lutful Hakim</v>
      </c>
      <c r="J83" s="13">
        <f t="shared" si="1"/>
        <v>-1</v>
      </c>
    </row>
    <row r="84">
      <c r="A84" s="11" t="str">
        <f>IFERROR(__xludf.DUMMYFUNCTION("""COMPUTED_VALUE"""),"C")</f>
        <v>C</v>
      </c>
      <c r="B84" s="11" t="str">
        <f>IFERROR(__xludf.DUMMYFUNCTION("""COMPUTED_VALUE"""),"Slot - 02")</f>
        <v>Slot - 02</v>
      </c>
      <c r="C84" s="11" t="str">
        <f>IFERROR(__xludf.DUMMYFUNCTION("""COMPUTED_VALUE"""),"12.04.2026")</f>
        <v>12.04.2026</v>
      </c>
      <c r="D84" s="12">
        <f>IFERROR(__xludf.DUMMYFUNCTION("""COMPUTED_VALUE"""),0.4791666666678793)</f>
        <v>0.4791666667</v>
      </c>
      <c r="E84" s="12">
        <f>IFERROR(__xludf.DUMMYFUNCTION("""COMPUTED_VALUE"""),0.5416666666678793)</f>
        <v>0.5416666667</v>
      </c>
      <c r="F84" s="11" t="str">
        <f>IFERROR(__xludf.DUMMYFUNCTION("""COMPUTED_VALUE"""),"EEE181.7")</f>
        <v>EEE181.7</v>
      </c>
      <c r="G84" s="11" t="str">
        <f>IFERROR(__xludf.DUMMYFUNCTION("""COMPUTED_VALUE"""),"Electrical Circuits Design I")</f>
        <v>Electrical Circuits Design I</v>
      </c>
      <c r="H84" s="13">
        <f>IFERROR(__xludf.DUMMYFUNCTION("""COMPUTED_VALUE"""),35.0)</f>
        <v>35</v>
      </c>
      <c r="I84" s="11" t="str">
        <f>IFERROR(__xludf.DUMMYFUNCTION("""COMPUTED_VALUE"""),"[DLH] Dr. Mohammad Lutful Hakim")</f>
        <v>[DLH] Dr. Mohammad Lutful Hakim</v>
      </c>
      <c r="J84" s="13">
        <f t="shared" si="1"/>
        <v>-1</v>
      </c>
    </row>
    <row r="85">
      <c r="A85" s="11" t="str">
        <f>IFERROR(__xludf.DUMMYFUNCTION("""COMPUTED_VALUE"""),"C")</f>
        <v>C</v>
      </c>
      <c r="B85" s="11" t="str">
        <f>IFERROR(__xludf.DUMMYFUNCTION("""COMPUTED_VALUE"""),"Slot - 02")</f>
        <v>Slot - 02</v>
      </c>
      <c r="C85" s="11" t="str">
        <f>IFERROR(__xludf.DUMMYFUNCTION("""COMPUTED_VALUE"""),"12.04.2026")</f>
        <v>12.04.2026</v>
      </c>
      <c r="D85" s="12">
        <f>IFERROR(__xludf.DUMMYFUNCTION("""COMPUTED_VALUE"""),0.4791666666678793)</f>
        <v>0.4791666667</v>
      </c>
      <c r="E85" s="12">
        <f>IFERROR(__xludf.DUMMYFUNCTION("""COMPUTED_VALUE"""),0.5416666666678793)</f>
        <v>0.5416666667</v>
      </c>
      <c r="F85" s="11" t="str">
        <f>IFERROR(__xludf.DUMMYFUNCTION("""COMPUTED_VALUE"""),"EEE181.8")</f>
        <v>EEE181.8</v>
      </c>
      <c r="G85" s="11" t="str">
        <f>IFERROR(__xludf.DUMMYFUNCTION("""COMPUTED_VALUE"""),"Electrical Circuits Design I")</f>
        <v>Electrical Circuits Design I</v>
      </c>
      <c r="H85" s="13">
        <f>IFERROR(__xludf.DUMMYFUNCTION("""COMPUTED_VALUE"""),36.0)</f>
        <v>36</v>
      </c>
      <c r="I85" s="11" t="str">
        <f>IFERROR(__xludf.DUMMYFUNCTION("""COMPUTED_VALUE"""),"[DLH] Dr. Mohammad Lutful Hakim")</f>
        <v>[DLH] Dr. Mohammad Lutful Hakim</v>
      </c>
      <c r="J85" s="13">
        <f t="shared" si="1"/>
        <v>-1</v>
      </c>
    </row>
    <row r="86">
      <c r="A86" s="11" t="str">
        <f>IFERROR(__xludf.DUMMYFUNCTION("""COMPUTED_VALUE"""),"C")</f>
        <v>C</v>
      </c>
      <c r="B86" s="11" t="str">
        <f>IFERROR(__xludf.DUMMYFUNCTION("""COMPUTED_VALUE"""),"Slot - 02")</f>
        <v>Slot - 02</v>
      </c>
      <c r="C86" s="11" t="str">
        <f>IFERROR(__xludf.DUMMYFUNCTION("""COMPUTED_VALUE"""),"12.04.2026")</f>
        <v>12.04.2026</v>
      </c>
      <c r="D86" s="12">
        <f>IFERROR(__xludf.DUMMYFUNCTION("""COMPUTED_VALUE"""),0.4791666666678793)</f>
        <v>0.4791666667</v>
      </c>
      <c r="E86" s="12">
        <f>IFERROR(__xludf.DUMMYFUNCTION("""COMPUTED_VALUE"""),0.5416666666678793)</f>
        <v>0.5416666667</v>
      </c>
      <c r="F86" s="11" t="str">
        <f>IFERROR(__xludf.DUMMYFUNCTION("""COMPUTED_VALUE"""),"EEE181.9")</f>
        <v>EEE181.9</v>
      </c>
      <c r="G86" s="11" t="str">
        <f>IFERROR(__xludf.DUMMYFUNCTION("""COMPUTED_VALUE"""),"Electrical Circuits Design I")</f>
        <v>Electrical Circuits Design I</v>
      </c>
      <c r="H86" s="13">
        <f>IFERROR(__xludf.DUMMYFUNCTION("""COMPUTED_VALUE"""),31.0)</f>
        <v>31</v>
      </c>
      <c r="I86" s="11" t="str">
        <f>IFERROR(__xludf.DUMMYFUNCTION("""COMPUTED_VALUE"""),"[DLH] Dr. Mohammad Lutful Hakim")</f>
        <v>[DLH] Dr. Mohammad Lutful Hakim</v>
      </c>
      <c r="J86" s="13">
        <f t="shared" si="1"/>
        <v>-1</v>
      </c>
    </row>
    <row r="87">
      <c r="A87" s="11" t="str">
        <f>IFERROR(__xludf.DUMMYFUNCTION("""COMPUTED_VALUE"""),"C")</f>
        <v>C</v>
      </c>
      <c r="B87" s="11" t="str">
        <f>IFERROR(__xludf.DUMMYFUNCTION("""COMPUTED_VALUE"""),"Slot - 19")</f>
        <v>Slot - 19</v>
      </c>
      <c r="C87" s="11" t="str">
        <f>IFERROR(__xludf.DUMMYFUNCTION("""COMPUTED_VALUE"""),"20.04.2026")</f>
        <v>20.04.2026</v>
      </c>
      <c r="D87" s="12">
        <f>IFERROR(__xludf.DUMMYFUNCTION("""COMPUTED_VALUE"""),0.3541666666678793)</f>
        <v>0.3541666667</v>
      </c>
      <c r="E87" s="12">
        <f>IFERROR(__xludf.DUMMYFUNCTION("""COMPUTED_VALUE"""),0.4166666666678793)</f>
        <v>0.4166666667</v>
      </c>
      <c r="F87" s="11" t="str">
        <f>IFERROR(__xludf.DUMMYFUNCTION("""COMPUTED_VALUE"""),"EEE241.1")</f>
        <v>EEE241.1</v>
      </c>
      <c r="G87" s="11" t="str">
        <f>IFERROR(__xludf.DUMMYFUNCTION("""COMPUTED_VALUE"""),"Electronic Devices &amp; Circuits I")</f>
        <v>Electronic Devices &amp; Circuits I</v>
      </c>
      <c r="H87" s="13">
        <f>IFERROR(__xludf.DUMMYFUNCTION("""COMPUTED_VALUE"""),26.0)</f>
        <v>26</v>
      </c>
      <c r="I87" s="11" t="str">
        <f>IFERROR(__xludf.DUMMYFUNCTION("""COMPUTED_VALUE"""),"[DLH] Dr. Mohammad Lutful Hakim")</f>
        <v>[DLH] Dr. Mohammad Lutful Hakim</v>
      </c>
      <c r="J87" s="13">
        <f t="shared" si="1"/>
        <v>-1</v>
      </c>
    </row>
    <row r="88">
      <c r="A88" s="11" t="str">
        <f>IFERROR(__xludf.DUMMYFUNCTION("""COMPUTED_VALUE"""),"D")</f>
        <v>D</v>
      </c>
      <c r="B88" s="11" t="str">
        <f>IFERROR(__xludf.DUMMYFUNCTION("""COMPUTED_VALUE"""),"Slot - J")</f>
        <v>Slot - J</v>
      </c>
      <c r="C88" s="11" t="str">
        <f>IFERROR(__xludf.DUMMYFUNCTION("""COMPUTED_VALUE"""),"24.04.2026")</f>
        <v>24.04.2026</v>
      </c>
      <c r="D88" s="12">
        <f>IFERROR(__xludf.DUMMYFUNCTION("""COMPUTED_VALUE"""),0.7083333333321207)</f>
        <v>0.7083333333</v>
      </c>
      <c r="E88" s="12">
        <f>IFERROR(__xludf.DUMMYFUNCTION("""COMPUTED_VALUE"""),0.7708333333321207)</f>
        <v>0.7708333333</v>
      </c>
      <c r="F88" s="11" t="str">
        <f>IFERROR(__xludf.DUMMYFUNCTION("""COMPUTED_VALUE"""),"MAT241.10")</f>
        <v>MAT241.10</v>
      </c>
      <c r="G88" s="11" t="str">
        <f>IFERROR(__xludf.DUMMYFUNCTION("""COMPUTED_VALUE"""),"Complex Variables and Transforms (Laplace &amp; Fourier)")</f>
        <v>Complex Variables and Transforms (Laplace &amp; Fourier)</v>
      </c>
      <c r="H88" s="13">
        <f>IFERROR(__xludf.DUMMYFUNCTION("""COMPUTED_VALUE"""),37.0)</f>
        <v>37</v>
      </c>
      <c r="I88" s="11" t="str">
        <f>IFERROR(__xludf.DUMMYFUNCTION("""COMPUTED_VALUE"""),"[DMAA] Dr. Md. Ayub Ali")</f>
        <v>[DMAA] Dr. Md. Ayub Ali</v>
      </c>
      <c r="J88" s="13">
        <f t="shared" si="1"/>
        <v>1</v>
      </c>
    </row>
    <row r="89">
      <c r="A89" s="11" t="str">
        <f>IFERROR(__xludf.DUMMYFUNCTION("""COMPUTED_VALUE"""),"D")</f>
        <v>D</v>
      </c>
      <c r="B89" s="11" t="str">
        <f>IFERROR(__xludf.DUMMYFUNCTION("""COMPUTED_VALUE"""),"Slot - M")</f>
        <v>Slot - M</v>
      </c>
      <c r="C89" s="11" t="str">
        <f>IFERROR(__xludf.DUMMYFUNCTION("""COMPUTED_VALUE"""),"25.04.2026")</f>
        <v>25.04.2026</v>
      </c>
      <c r="D89" s="12">
        <f>IFERROR(__xludf.DUMMYFUNCTION("""COMPUTED_VALUE"""),0.5625)</f>
        <v>0.5625</v>
      </c>
      <c r="E89" s="12">
        <f>IFERROR(__xludf.DUMMYFUNCTION("""COMPUTED_VALUE"""),0.625)</f>
        <v>0.625</v>
      </c>
      <c r="F89" s="11" t="str">
        <f>IFERROR(__xludf.DUMMYFUNCTION("""COMPUTED_VALUE"""),"CSE261.12")</f>
        <v>CSE261.12</v>
      </c>
      <c r="G89" s="11" t="str">
        <f>IFERROR(__xludf.DUMMYFUNCTION("""COMPUTED_VALUE"""),"Numerical Methods")</f>
        <v>Numerical Methods</v>
      </c>
      <c r="H89" s="13">
        <f>IFERROR(__xludf.DUMMYFUNCTION("""COMPUTED_VALUE"""),39.0)</f>
        <v>39</v>
      </c>
      <c r="I89" s="11" t="str">
        <f>IFERROR(__xludf.DUMMYFUNCTION("""COMPUTED_VALUE"""),"[DMAA] Dr. Md. Ayub Ali")</f>
        <v>[DMAA] Dr. Md. Ayub Ali</v>
      </c>
      <c r="J89" s="13">
        <f t="shared" si="1"/>
        <v>1</v>
      </c>
    </row>
    <row r="90">
      <c r="A90" s="11" t="str">
        <f>IFERROR(__xludf.DUMMYFUNCTION("""COMPUTED_VALUE"""),"C")</f>
        <v>C</v>
      </c>
      <c r="B90" s="11" t="str">
        <f>IFERROR(__xludf.DUMMYFUNCTION("""COMPUTED_VALUE"""),"Slot - 03")</f>
        <v>Slot - 03</v>
      </c>
      <c r="C90" s="11" t="str">
        <f>IFERROR(__xludf.DUMMYFUNCTION("""COMPUTED_VALUE"""),"12.04.2026")</f>
        <v>12.04.2026</v>
      </c>
      <c r="D90" s="12">
        <f>IFERROR(__xludf.DUMMYFUNCTION("""COMPUTED_VALUE"""),0.6041666666678793)</f>
        <v>0.6041666667</v>
      </c>
      <c r="E90" s="12">
        <f>IFERROR(__xludf.DUMMYFUNCTION("""COMPUTED_VALUE"""),0.6666666666678793)</f>
        <v>0.6666666667</v>
      </c>
      <c r="F90" s="11" t="str">
        <f>IFERROR(__xludf.DUMMYFUNCTION("""COMPUTED_VALUE"""),"PHY181.11")</f>
        <v>PHY181.11</v>
      </c>
      <c r="G90" s="11" t="str">
        <f>IFERROR(__xludf.DUMMYFUNCTION("""COMPUTED_VALUE"""),"Physics II")</f>
        <v>Physics II</v>
      </c>
      <c r="H90" s="13">
        <f>IFERROR(__xludf.DUMMYFUNCTION("""COMPUTED_VALUE"""),39.0)</f>
        <v>39</v>
      </c>
      <c r="I90" s="11" t="str">
        <f>IFERROR(__xludf.DUMMYFUNCTION("""COMPUTED_VALUE"""),"[DMAJ] Dr. Mohammad Majidur Rahman")</f>
        <v>[DMAJ] Dr. Mohammad Majidur Rahman</v>
      </c>
      <c r="J90" s="13">
        <f t="shared" si="1"/>
        <v>-1</v>
      </c>
    </row>
    <row r="91">
      <c r="A91" s="11" t="str">
        <f>IFERROR(__xludf.DUMMYFUNCTION("""COMPUTED_VALUE"""),"C")</f>
        <v>C</v>
      </c>
      <c r="B91" s="11" t="str">
        <f>IFERROR(__xludf.DUMMYFUNCTION("""COMPUTED_VALUE"""),"Slot - 07")</f>
        <v>Slot - 07</v>
      </c>
      <c r="C91" s="11" t="str">
        <f>IFERROR(__xludf.DUMMYFUNCTION("""COMPUTED_VALUE"""),"15.04.2026")</f>
        <v>15.04.2026</v>
      </c>
      <c r="D91" s="12">
        <f>IFERROR(__xludf.DUMMYFUNCTION("""COMPUTED_VALUE"""),0.3541666666678793)</f>
        <v>0.3541666667</v>
      </c>
      <c r="E91" s="12">
        <f>IFERROR(__xludf.DUMMYFUNCTION("""COMPUTED_VALUE"""),0.4166666666678793)</f>
        <v>0.4166666667</v>
      </c>
      <c r="F91" s="11" t="str">
        <f>IFERROR(__xludf.DUMMYFUNCTION("""COMPUTED_VALUE"""),"PHY161.9")</f>
        <v>PHY161.9</v>
      </c>
      <c r="G91" s="11" t="str">
        <f>IFERROR(__xludf.DUMMYFUNCTION("""COMPUTED_VALUE"""),"Physics I")</f>
        <v>Physics I</v>
      </c>
      <c r="H91" s="13">
        <f>IFERROR(__xludf.DUMMYFUNCTION("""COMPUTED_VALUE"""),42.0)</f>
        <v>42</v>
      </c>
      <c r="I91" s="11" t="str">
        <f>IFERROR(__xludf.DUMMYFUNCTION("""COMPUTED_VALUE"""),"[DMAJ] Dr. Mohammad Majidur Rahman")</f>
        <v>[DMAJ] Dr. Mohammad Majidur Rahman</v>
      </c>
      <c r="J91" s="13">
        <f t="shared" si="1"/>
        <v>-1</v>
      </c>
    </row>
    <row r="92">
      <c r="A92" s="11" t="str">
        <f>IFERROR(__xludf.DUMMYFUNCTION("""COMPUTED_VALUE"""),"C")</f>
        <v>C</v>
      </c>
      <c r="B92" s="11" t="str">
        <f>IFERROR(__xludf.DUMMYFUNCTION("""COMPUTED_VALUE"""),"Slot - 06")</f>
        <v>Slot - 06</v>
      </c>
      <c r="C92" s="11" t="str">
        <f>IFERROR(__xludf.DUMMYFUNCTION("""COMPUTED_VALUE"""),"13.04.2026")</f>
        <v>13.04.2026</v>
      </c>
      <c r="D92" s="12">
        <f>IFERROR(__xludf.DUMMYFUNCTION("""COMPUTED_VALUE"""),0.6041666666678793)</f>
        <v>0.6041666667</v>
      </c>
      <c r="E92" s="12">
        <f>IFERROR(__xludf.DUMMYFUNCTION("""COMPUTED_VALUE"""),0.6666666666678793)</f>
        <v>0.6666666667</v>
      </c>
      <c r="F92" s="11" t="str">
        <f>IFERROR(__xludf.DUMMYFUNCTION("""COMPUTED_VALUE"""),"CSE479.1")</f>
        <v>CSE479.1</v>
      </c>
      <c r="G92" s="11" t="str">
        <f>IFERROR(__xludf.DUMMYFUNCTION("""COMPUTED_VALUE"""),"Cryptography &amp; Network Security")</f>
        <v>Cryptography &amp; Network Security</v>
      </c>
      <c r="H92" s="13">
        <f>IFERROR(__xludf.DUMMYFUNCTION("""COMPUTED_VALUE"""),28.0)</f>
        <v>28</v>
      </c>
      <c r="I92" s="11" t="str">
        <f>IFERROR(__xludf.DUMMYFUNCTION("""COMPUTED_VALUE"""),"[DMHN] Dr. Md. Maruf Hassan")</f>
        <v>[DMHN] Dr. Md. Maruf Hassan</v>
      </c>
      <c r="J92" s="13">
        <f t="shared" si="1"/>
        <v>1</v>
      </c>
    </row>
    <row r="93">
      <c r="A93" s="11" t="str">
        <f>IFERROR(__xludf.DUMMYFUNCTION("""COMPUTED_VALUE"""),"C")</f>
        <v>C</v>
      </c>
      <c r="B93" s="11" t="str">
        <f>IFERROR(__xludf.DUMMYFUNCTION("""COMPUTED_VALUE"""),"Slot - 06")</f>
        <v>Slot - 06</v>
      </c>
      <c r="C93" s="11" t="str">
        <f>IFERROR(__xludf.DUMMYFUNCTION("""COMPUTED_VALUE"""),"13.04.2026")</f>
        <v>13.04.2026</v>
      </c>
      <c r="D93" s="12">
        <f>IFERROR(__xludf.DUMMYFUNCTION("""COMPUTED_VALUE"""),0.6041666666678793)</f>
        <v>0.6041666667</v>
      </c>
      <c r="E93" s="12">
        <f>IFERROR(__xludf.DUMMYFUNCTION("""COMPUTED_VALUE"""),0.6666666666678793)</f>
        <v>0.6666666667</v>
      </c>
      <c r="F93" s="11" t="str">
        <f>IFERROR(__xludf.DUMMYFUNCTION("""COMPUTED_VALUE"""),"CSE479.2")</f>
        <v>CSE479.2</v>
      </c>
      <c r="G93" s="11" t="str">
        <f>IFERROR(__xludf.DUMMYFUNCTION("""COMPUTED_VALUE"""),"Cryptography &amp; Network Security")</f>
        <v>Cryptography &amp; Network Security</v>
      </c>
      <c r="H93" s="13">
        <f>IFERROR(__xludf.DUMMYFUNCTION("""COMPUTED_VALUE"""),40.0)</f>
        <v>40</v>
      </c>
      <c r="I93" s="11" t="str">
        <f>IFERROR(__xludf.DUMMYFUNCTION("""COMPUTED_VALUE"""),"[DMHN] Dr. Md. Maruf Hassan")</f>
        <v>[DMHN] Dr. Md. Maruf Hassan</v>
      </c>
      <c r="J93" s="13">
        <f t="shared" si="1"/>
        <v>1</v>
      </c>
    </row>
    <row r="94">
      <c r="A94" s="11" t="str">
        <f>IFERROR(__xludf.DUMMYFUNCTION("""COMPUTED_VALUE"""),"D")</f>
        <v>D</v>
      </c>
      <c r="B94" s="11" t="str">
        <f>IFERROR(__xludf.DUMMYFUNCTION("""COMPUTED_VALUE"""),"Slot - H")</f>
        <v>Slot - H</v>
      </c>
      <c r="C94" s="11" t="str">
        <f>IFERROR(__xludf.DUMMYFUNCTION("""COMPUTED_VALUE"""),"24.04.2026")</f>
        <v>24.04.2026</v>
      </c>
      <c r="D94" s="12">
        <f>IFERROR(__xludf.DUMMYFUNCTION("""COMPUTED_VALUE"""),0.4791666666678793)</f>
        <v>0.4791666667</v>
      </c>
      <c r="E94" s="12">
        <f>IFERROR(__xludf.DUMMYFUNCTION("""COMPUTED_VALUE"""),0.5416666666678793)</f>
        <v>0.5416666667</v>
      </c>
      <c r="F94" s="11" t="str">
        <f>IFERROR(__xludf.DUMMYFUNCTION("""COMPUTED_VALUE"""),"CSE141.1")</f>
        <v>CSE141.1</v>
      </c>
      <c r="G94" s="11" t="str">
        <f>IFERROR(__xludf.DUMMYFUNCTION("""COMPUTED_VALUE"""),"Computer Fundamentals")</f>
        <v>Computer Fundamentals</v>
      </c>
      <c r="H94" s="13">
        <f>IFERROR(__xludf.DUMMYFUNCTION("""COMPUTED_VALUE"""),40.0)</f>
        <v>40</v>
      </c>
      <c r="I94" s="11" t="str">
        <f>IFERROR(__xludf.DUMMYFUNCTION("""COMPUTED_VALUE"""),"[DMHN] Dr. Md. Maruf Hassan")</f>
        <v>[DMHN] Dr. Md. Maruf Hassan</v>
      </c>
      <c r="J94" s="13">
        <f t="shared" si="1"/>
        <v>1</v>
      </c>
    </row>
    <row r="95">
      <c r="A95" s="11" t="str">
        <f>IFERROR(__xludf.DUMMYFUNCTION("""COMPUTED_VALUE"""),"C")</f>
        <v>C</v>
      </c>
      <c r="B95" s="11" t="str">
        <f>IFERROR(__xludf.DUMMYFUNCTION("""COMPUTED_VALUE"""),"Slot - 07")</f>
        <v>Slot - 07</v>
      </c>
      <c r="C95" s="11" t="str">
        <f>IFERROR(__xludf.DUMMYFUNCTION("""COMPUTED_VALUE"""),"15.04.2026")</f>
        <v>15.04.2026</v>
      </c>
      <c r="D95" s="12">
        <f>IFERROR(__xludf.DUMMYFUNCTION("""COMPUTED_VALUE"""),0.3541666666678793)</f>
        <v>0.3541666667</v>
      </c>
      <c r="E95" s="12">
        <f>IFERROR(__xludf.DUMMYFUNCTION("""COMPUTED_VALUE"""),0.4166666666678793)</f>
        <v>0.4166666667</v>
      </c>
      <c r="F95" s="11" t="str">
        <f>IFERROR(__xludf.DUMMYFUNCTION("""COMPUTED_VALUE"""),"PHY161.3")</f>
        <v>PHY161.3</v>
      </c>
      <c r="G95" s="11" t="str">
        <f>IFERROR(__xludf.DUMMYFUNCTION("""COMPUTED_VALUE"""),"Physics I")</f>
        <v>Physics I</v>
      </c>
      <c r="H95" s="13">
        <f>IFERROR(__xludf.DUMMYFUNCTION("""COMPUTED_VALUE"""),42.0)</f>
        <v>42</v>
      </c>
      <c r="I95" s="11" t="str">
        <f>IFERROR(__xludf.DUMMYFUNCTION("""COMPUTED_VALUE"""),"[DMMA] Dr. Md. Murad Ahmed")</f>
        <v>[DMMA] Dr. Md. Murad Ahmed</v>
      </c>
      <c r="J95" s="13">
        <f t="shared" si="1"/>
        <v>-1</v>
      </c>
    </row>
    <row r="96">
      <c r="A96" s="11" t="str">
        <f>IFERROR(__xludf.DUMMYFUNCTION("""COMPUTED_VALUE"""),"C")</f>
        <v>C</v>
      </c>
      <c r="B96" s="11" t="str">
        <f>IFERROR(__xludf.DUMMYFUNCTION("""COMPUTED_VALUE"""),"Slot - 07")</f>
        <v>Slot - 07</v>
      </c>
      <c r="C96" s="11" t="str">
        <f>IFERROR(__xludf.DUMMYFUNCTION("""COMPUTED_VALUE"""),"15.04.2026")</f>
        <v>15.04.2026</v>
      </c>
      <c r="D96" s="12">
        <f>IFERROR(__xludf.DUMMYFUNCTION("""COMPUTED_VALUE"""),0.3541666666678793)</f>
        <v>0.3541666667</v>
      </c>
      <c r="E96" s="12">
        <f>IFERROR(__xludf.DUMMYFUNCTION("""COMPUTED_VALUE"""),0.4166666666678793)</f>
        <v>0.4166666667</v>
      </c>
      <c r="F96" s="11" t="str">
        <f>IFERROR(__xludf.DUMMYFUNCTION("""COMPUTED_VALUE"""),"PHY161.4")</f>
        <v>PHY161.4</v>
      </c>
      <c r="G96" s="11" t="str">
        <f>IFERROR(__xludf.DUMMYFUNCTION("""COMPUTED_VALUE"""),"Physics I")</f>
        <v>Physics I</v>
      </c>
      <c r="H96" s="13">
        <f>IFERROR(__xludf.DUMMYFUNCTION("""COMPUTED_VALUE"""),41.0)</f>
        <v>41</v>
      </c>
      <c r="I96" s="11" t="str">
        <f>IFERROR(__xludf.DUMMYFUNCTION("""COMPUTED_VALUE"""),"[DMMA] Dr. Md. Murad Ahmed")</f>
        <v>[DMMA] Dr. Md. Murad Ahmed</v>
      </c>
      <c r="J96" s="13">
        <f t="shared" si="1"/>
        <v>-1</v>
      </c>
    </row>
    <row r="97">
      <c r="A97" s="11" t="str">
        <f>IFERROR(__xludf.DUMMYFUNCTION("""COMPUTED_VALUE"""),"C")</f>
        <v>C</v>
      </c>
      <c r="B97" s="11" t="str">
        <f>IFERROR(__xludf.DUMMYFUNCTION("""COMPUTED_VALUE"""),"Slot - 24")</f>
        <v>Slot - 24</v>
      </c>
      <c r="C97" s="11" t="str">
        <f>IFERROR(__xludf.DUMMYFUNCTION("""COMPUTED_VALUE"""),"21.04.2026")</f>
        <v>21.04.2026</v>
      </c>
      <c r="D97" s="12">
        <f>IFERROR(__xludf.DUMMYFUNCTION("""COMPUTED_VALUE"""),0.6041666666678793)</f>
        <v>0.6041666667</v>
      </c>
      <c r="E97" s="12">
        <f>IFERROR(__xludf.DUMMYFUNCTION("""COMPUTED_VALUE"""),0.6666666666678793)</f>
        <v>0.6666666667</v>
      </c>
      <c r="F97" s="11" t="str">
        <f>IFERROR(__xludf.DUMMYFUNCTION("""COMPUTED_VALUE"""),"MAT241.8")</f>
        <v>MAT241.8</v>
      </c>
      <c r="G97" s="11" t="str">
        <f>IFERROR(__xludf.DUMMYFUNCTION("""COMPUTED_VALUE"""),"Complex Variables and Transforms (Laplace &amp; Fourier)")</f>
        <v>Complex Variables and Transforms (Laplace &amp; Fourier)</v>
      </c>
      <c r="H97" s="13">
        <f>IFERROR(__xludf.DUMMYFUNCTION("""COMPUTED_VALUE"""),19.0)</f>
        <v>19</v>
      </c>
      <c r="I97" s="11" t="str">
        <f>IFERROR(__xludf.DUMMYFUNCTION("""COMPUTED_VALUE"""),"[DMMB] Dr. Md. Masum Billah")</f>
        <v>[DMMB] Dr. Md. Masum Billah</v>
      </c>
      <c r="J97" s="13">
        <f t="shared" si="1"/>
        <v>1</v>
      </c>
    </row>
    <row r="98">
      <c r="A98" s="11" t="str">
        <f>IFERROR(__xludf.DUMMYFUNCTION("""COMPUTED_VALUE"""),"C")</f>
        <v>C</v>
      </c>
      <c r="B98" s="11" t="str">
        <f>IFERROR(__xludf.DUMMYFUNCTION("""COMPUTED_VALUE"""),"Slot - 24")</f>
        <v>Slot - 24</v>
      </c>
      <c r="C98" s="11" t="str">
        <f>IFERROR(__xludf.DUMMYFUNCTION("""COMPUTED_VALUE"""),"21.04.2026")</f>
        <v>21.04.2026</v>
      </c>
      <c r="D98" s="12">
        <f>IFERROR(__xludf.DUMMYFUNCTION("""COMPUTED_VALUE"""),0.6041666666678793)</f>
        <v>0.6041666667</v>
      </c>
      <c r="E98" s="12">
        <f>IFERROR(__xludf.DUMMYFUNCTION("""COMPUTED_VALUE"""),0.6666666666678793)</f>
        <v>0.6666666667</v>
      </c>
      <c r="F98" s="11" t="str">
        <f>IFERROR(__xludf.DUMMYFUNCTION("""COMPUTED_VALUE"""),"MAT241.9")</f>
        <v>MAT241.9</v>
      </c>
      <c r="G98" s="11" t="str">
        <f>IFERROR(__xludf.DUMMYFUNCTION("""COMPUTED_VALUE"""),"Complex Variables and Transforms (Laplace &amp; Fourier)")</f>
        <v>Complex Variables and Transforms (Laplace &amp; Fourier)</v>
      </c>
      <c r="H98" s="13">
        <f>IFERROR(__xludf.DUMMYFUNCTION("""COMPUTED_VALUE"""),35.0)</f>
        <v>35</v>
      </c>
      <c r="I98" s="11" t="str">
        <f>IFERROR(__xludf.DUMMYFUNCTION("""COMPUTED_VALUE"""),"[DMMB] Dr. Md. Masum Billah")</f>
        <v>[DMMB] Dr. Md. Masum Billah</v>
      </c>
      <c r="J98" s="13">
        <f t="shared" si="1"/>
        <v>1</v>
      </c>
    </row>
    <row r="99">
      <c r="A99" s="11" t="str">
        <f>IFERROR(__xludf.DUMMYFUNCTION("""COMPUTED_VALUE"""),"D")</f>
        <v>D</v>
      </c>
      <c r="B99" s="11" t="str">
        <f>IFERROR(__xludf.DUMMYFUNCTION("""COMPUTED_VALUE"""),"Slot - I")</f>
        <v>Slot - I</v>
      </c>
      <c r="C99" s="11" t="str">
        <f>IFERROR(__xludf.DUMMYFUNCTION("""COMPUTED_VALUE"""),"24.04.2026")</f>
        <v>24.04.2026</v>
      </c>
      <c r="D99" s="12">
        <f>IFERROR(__xludf.DUMMYFUNCTION("""COMPUTED_VALUE"""),0.6041666666678793)</f>
        <v>0.6041666667</v>
      </c>
      <c r="E99" s="12">
        <f>IFERROR(__xludf.DUMMYFUNCTION("""COMPUTED_VALUE"""),0.6666666666678793)</f>
        <v>0.6666666667</v>
      </c>
      <c r="F99" s="11" t="str">
        <f>IFERROR(__xludf.DUMMYFUNCTION("""COMPUTED_VALUE"""),"CSE261.13")</f>
        <v>CSE261.13</v>
      </c>
      <c r="G99" s="11" t="str">
        <f>IFERROR(__xludf.DUMMYFUNCTION("""COMPUTED_VALUE"""),"Numerical Methods")</f>
        <v>Numerical Methods</v>
      </c>
      <c r="H99" s="13">
        <f>IFERROR(__xludf.DUMMYFUNCTION("""COMPUTED_VALUE"""),43.0)</f>
        <v>43</v>
      </c>
      <c r="I99" s="11" t="str">
        <f>IFERROR(__xludf.DUMMYFUNCTION("""COMPUTED_VALUE"""),"[DMOS] Dr. Mohammad Shafiul Alam")</f>
        <v>[DMOS] Dr. Mohammad Shafiul Alam</v>
      </c>
      <c r="J99" s="13">
        <f t="shared" si="1"/>
        <v>-1</v>
      </c>
    </row>
    <row r="100">
      <c r="A100" s="11" t="str">
        <f>IFERROR(__xludf.DUMMYFUNCTION("""COMPUTED_VALUE"""),"D")</f>
        <v>D</v>
      </c>
      <c r="B100" s="11" t="str">
        <f>IFERROR(__xludf.DUMMYFUNCTION("""COMPUTED_VALUE"""),"Slot - N")</f>
        <v>Slot - N</v>
      </c>
      <c r="C100" s="11" t="str">
        <f>IFERROR(__xludf.DUMMYFUNCTION("""COMPUTED_VALUE"""),"25.04.2026")</f>
        <v>25.04.2026</v>
      </c>
      <c r="D100" s="12">
        <f>IFERROR(__xludf.DUMMYFUNCTION("""COMPUTED_VALUE"""),0.6666666666678793)</f>
        <v>0.6666666667</v>
      </c>
      <c r="E100" s="12">
        <f>IFERROR(__xludf.DUMMYFUNCTION("""COMPUTED_VALUE"""),0.7291666666678793)</f>
        <v>0.7291666667</v>
      </c>
      <c r="F100" s="11" t="str">
        <f>IFERROR(__xludf.DUMMYFUNCTION("""COMPUTED_VALUE"""),"CSE261.14")</f>
        <v>CSE261.14</v>
      </c>
      <c r="G100" s="11" t="str">
        <f>IFERROR(__xludf.DUMMYFUNCTION("""COMPUTED_VALUE"""),"Numerical Methods")</f>
        <v>Numerical Methods</v>
      </c>
      <c r="H100" s="13">
        <f>IFERROR(__xludf.DUMMYFUNCTION("""COMPUTED_VALUE"""),42.0)</f>
        <v>42</v>
      </c>
      <c r="I100" s="11" t="str">
        <f>IFERROR(__xludf.DUMMYFUNCTION("""COMPUTED_VALUE"""),"[DMOS] Dr. Mohammad Shafiul Alam")</f>
        <v>[DMOS] Dr. Mohammad Shafiul Alam</v>
      </c>
      <c r="J100" s="13">
        <f t="shared" si="1"/>
        <v>-1</v>
      </c>
    </row>
    <row r="101">
      <c r="A101" s="11" t="str">
        <f>IFERROR(__xludf.DUMMYFUNCTION("""COMPUTED_VALUE"""),"C")</f>
        <v>C</v>
      </c>
      <c r="B101" s="11" t="str">
        <f>IFERROR(__xludf.DUMMYFUNCTION("""COMPUTED_VALUE"""),"Slot - 07")</f>
        <v>Slot - 07</v>
      </c>
      <c r="C101" s="11" t="str">
        <f>IFERROR(__xludf.DUMMYFUNCTION("""COMPUTED_VALUE"""),"15.04.2026")</f>
        <v>15.04.2026</v>
      </c>
      <c r="D101" s="12">
        <f>IFERROR(__xludf.DUMMYFUNCTION("""COMPUTED_VALUE"""),0.3541666666678793)</f>
        <v>0.3541666667</v>
      </c>
      <c r="E101" s="12">
        <f>IFERROR(__xludf.DUMMYFUNCTION("""COMPUTED_VALUE"""),0.4166666666678793)</f>
        <v>0.4166666667</v>
      </c>
      <c r="F101" s="11" t="str">
        <f>IFERROR(__xludf.DUMMYFUNCTION("""COMPUTED_VALUE"""),"ECO461.3")</f>
        <v>ECO461.3</v>
      </c>
      <c r="G101" s="11" t="str">
        <f>IFERROR(__xludf.DUMMYFUNCTION("""COMPUTED_VALUE"""),"Introduction to Economics")</f>
        <v>Introduction to Economics</v>
      </c>
      <c r="H101" s="13">
        <f>IFERROR(__xludf.DUMMYFUNCTION("""COMPUTED_VALUE"""),42.0)</f>
        <v>42</v>
      </c>
      <c r="I101" s="11" t="str">
        <f>IFERROR(__xludf.DUMMYFUNCTION("""COMPUTED_VALUE"""),"[DMRS] Dr. Md. Mizanur Rahman Sarker")</f>
        <v>[DMRS] Dr. Md. Mizanur Rahman Sarker</v>
      </c>
      <c r="J101" s="13">
        <f t="shared" si="1"/>
        <v>1</v>
      </c>
    </row>
    <row r="102">
      <c r="A102" s="11" t="str">
        <f>IFERROR(__xludf.DUMMYFUNCTION("""COMPUTED_VALUE"""),"C")</f>
        <v>C</v>
      </c>
      <c r="B102" s="11" t="str">
        <f>IFERROR(__xludf.DUMMYFUNCTION("""COMPUTED_VALUE"""),"Slot - 07")</f>
        <v>Slot - 07</v>
      </c>
      <c r="C102" s="11" t="str">
        <f>IFERROR(__xludf.DUMMYFUNCTION("""COMPUTED_VALUE"""),"15.04.2026")</f>
        <v>15.04.2026</v>
      </c>
      <c r="D102" s="12">
        <f>IFERROR(__xludf.DUMMYFUNCTION("""COMPUTED_VALUE"""),0.3541666666678793)</f>
        <v>0.3541666667</v>
      </c>
      <c r="E102" s="12">
        <f>IFERROR(__xludf.DUMMYFUNCTION("""COMPUTED_VALUE"""),0.4166666666678793)</f>
        <v>0.4166666667</v>
      </c>
      <c r="F102" s="11" t="str">
        <f>IFERROR(__xludf.DUMMYFUNCTION("""COMPUTED_VALUE"""),"ECO461.4")</f>
        <v>ECO461.4</v>
      </c>
      <c r="G102" s="11" t="str">
        <f>IFERROR(__xludf.DUMMYFUNCTION("""COMPUTED_VALUE"""),"Introduction to Economics")</f>
        <v>Introduction to Economics</v>
      </c>
      <c r="H102" s="13">
        <f>IFERROR(__xludf.DUMMYFUNCTION("""COMPUTED_VALUE"""),40.0)</f>
        <v>40</v>
      </c>
      <c r="I102" s="11" t="str">
        <f>IFERROR(__xludf.DUMMYFUNCTION("""COMPUTED_VALUE"""),"[DMRS] Dr. Md. Mizanur Rahman Sarker")</f>
        <v>[DMRS] Dr. Md. Mizanur Rahman Sarker</v>
      </c>
      <c r="J102" s="13">
        <f t="shared" si="1"/>
        <v>1</v>
      </c>
    </row>
    <row r="103">
      <c r="A103" s="11" t="str">
        <f>IFERROR(__xludf.DUMMYFUNCTION("""COMPUTED_VALUE"""),"C")</f>
        <v>C</v>
      </c>
      <c r="B103" s="11" t="str">
        <f>IFERROR(__xludf.DUMMYFUNCTION("""COMPUTED_VALUE"""),"Slot - 17")</f>
        <v>Slot - 17</v>
      </c>
      <c r="C103" s="11" t="str">
        <f>IFERROR(__xludf.DUMMYFUNCTION("""COMPUTED_VALUE"""),"19.04.2026")</f>
        <v>19.04.2026</v>
      </c>
      <c r="D103" s="12">
        <f>IFERROR(__xludf.DUMMYFUNCTION("""COMPUTED_VALUE"""),0.4791666666678793)</f>
        <v>0.4791666667</v>
      </c>
      <c r="E103" s="12">
        <f>IFERROR(__xludf.DUMMYFUNCTION("""COMPUTED_VALUE"""),0.5416666666678793)</f>
        <v>0.5416666667</v>
      </c>
      <c r="F103" s="11" t="str">
        <f>IFERROR(__xludf.DUMMYFUNCTION("""COMPUTED_VALUE"""),"PHY1211.1")</f>
        <v>PHY1211.1</v>
      </c>
      <c r="G103" s="11" t="str">
        <f>IFERROR(__xludf.DUMMYFUNCTION("""COMPUTED_VALUE"""),"Physics II")</f>
        <v>Physics II</v>
      </c>
      <c r="H103" s="13">
        <f>IFERROR(__xludf.DUMMYFUNCTION("""COMPUTED_VALUE"""),2.0)</f>
        <v>2</v>
      </c>
      <c r="I103" s="11" t="str">
        <f>IFERROR(__xludf.DUMMYFUNCTION("""COMPUTED_VALUE"""),"[DRAD] Dr. Ramit Azad")</f>
        <v>[DRAD] Dr. Ramit Azad</v>
      </c>
      <c r="J103" s="13">
        <f t="shared" si="1"/>
        <v>-1</v>
      </c>
    </row>
    <row r="104">
      <c r="A104" s="11" t="str">
        <f>IFERROR(__xludf.DUMMYFUNCTION("""COMPUTED_VALUE"""),"C")</f>
        <v>C</v>
      </c>
      <c r="B104" s="11" t="str">
        <f>IFERROR(__xludf.DUMMYFUNCTION("""COMPUTED_VALUE"""),"Slot - 17")</f>
        <v>Slot - 17</v>
      </c>
      <c r="C104" s="11" t="str">
        <f>IFERROR(__xludf.DUMMYFUNCTION("""COMPUTED_VALUE"""),"19.04.2026")</f>
        <v>19.04.2026</v>
      </c>
      <c r="D104" s="12">
        <f>IFERROR(__xludf.DUMMYFUNCTION("""COMPUTED_VALUE"""),0.4791666666678793)</f>
        <v>0.4791666667</v>
      </c>
      <c r="E104" s="12">
        <f>IFERROR(__xludf.DUMMYFUNCTION("""COMPUTED_VALUE"""),0.5416666666678793)</f>
        <v>0.5416666667</v>
      </c>
      <c r="F104" s="11" t="str">
        <f>IFERROR(__xludf.DUMMYFUNCTION("""COMPUTED_VALUE"""),"PHY181.7")</f>
        <v>PHY181.7</v>
      </c>
      <c r="G104" s="11" t="str">
        <f>IFERROR(__xludf.DUMMYFUNCTION("""COMPUTED_VALUE"""),"Physics II")</f>
        <v>Physics II</v>
      </c>
      <c r="H104" s="13">
        <f>IFERROR(__xludf.DUMMYFUNCTION("""COMPUTED_VALUE"""),40.0)</f>
        <v>40</v>
      </c>
      <c r="I104" s="11" t="str">
        <f>IFERROR(__xludf.DUMMYFUNCTION("""COMPUTED_VALUE"""),"[DRAD] Dr. Ramit Azad")</f>
        <v>[DRAD] Dr. Ramit Azad</v>
      </c>
      <c r="J104" s="13">
        <f t="shared" si="1"/>
        <v>-1</v>
      </c>
    </row>
    <row r="105">
      <c r="A105" s="11" t="str">
        <f>IFERROR(__xludf.DUMMYFUNCTION("""COMPUTED_VALUE"""),"C")</f>
        <v>C</v>
      </c>
      <c r="B105" s="11" t="str">
        <f>IFERROR(__xludf.DUMMYFUNCTION("""COMPUTED_VALUE"""),"Slot - 17")</f>
        <v>Slot - 17</v>
      </c>
      <c r="C105" s="11" t="str">
        <f>IFERROR(__xludf.DUMMYFUNCTION("""COMPUTED_VALUE"""),"19.04.2026")</f>
        <v>19.04.2026</v>
      </c>
      <c r="D105" s="12">
        <f>IFERROR(__xludf.DUMMYFUNCTION("""COMPUTED_VALUE"""),0.4791666666678793)</f>
        <v>0.4791666667</v>
      </c>
      <c r="E105" s="12">
        <f>IFERROR(__xludf.DUMMYFUNCTION("""COMPUTED_VALUE"""),0.5416666666678793)</f>
        <v>0.5416666667</v>
      </c>
      <c r="F105" s="11" t="str">
        <f>IFERROR(__xludf.DUMMYFUNCTION("""COMPUTED_VALUE"""),"PHY181.8")</f>
        <v>PHY181.8</v>
      </c>
      <c r="G105" s="11" t="str">
        <f>IFERROR(__xludf.DUMMYFUNCTION("""COMPUTED_VALUE"""),"Physics II")</f>
        <v>Physics II</v>
      </c>
      <c r="H105" s="13">
        <f>IFERROR(__xludf.DUMMYFUNCTION("""COMPUTED_VALUE"""),37.0)</f>
        <v>37</v>
      </c>
      <c r="I105" s="11" t="str">
        <f>IFERROR(__xludf.DUMMYFUNCTION("""COMPUTED_VALUE"""),"[DRAD] Dr. Ramit Azad")</f>
        <v>[DRAD] Dr. Ramit Azad</v>
      </c>
      <c r="J105" s="13">
        <f t="shared" si="1"/>
        <v>-1</v>
      </c>
    </row>
    <row r="106">
      <c r="A106" s="11" t="str">
        <f>IFERROR(__xludf.DUMMYFUNCTION("""COMPUTED_VALUE"""),"C")</f>
        <v>C</v>
      </c>
      <c r="B106" s="11" t="str">
        <f>IFERROR(__xludf.DUMMYFUNCTION("""COMPUTED_VALUE"""),"Slot - 10")</f>
        <v>Slot - 10</v>
      </c>
      <c r="C106" s="11" t="str">
        <f>IFERROR(__xludf.DUMMYFUNCTION("""COMPUTED_VALUE"""),"16.04.2026")</f>
        <v>16.04.2026</v>
      </c>
      <c r="D106" s="12">
        <f>IFERROR(__xludf.DUMMYFUNCTION("""COMPUTED_VALUE"""),0.3541666666678793)</f>
        <v>0.3541666667</v>
      </c>
      <c r="E106" s="12">
        <f>IFERROR(__xludf.DUMMYFUNCTION("""COMPUTED_VALUE"""),0.4166666666678793)</f>
        <v>0.4166666667</v>
      </c>
      <c r="F106" s="11" t="str">
        <f>IFERROR(__xludf.DUMMYFUNCTION("""COMPUTED_VALUE"""),"CSE4035.1")</f>
        <v>CSE4035.1</v>
      </c>
      <c r="G106" s="11" t="str">
        <f>IFERROR(__xludf.DUMMYFUNCTION("""COMPUTED_VALUE"""),"Software Development and Project Management")</f>
        <v>Software Development and Project Management</v>
      </c>
      <c r="H106" s="13">
        <f>IFERROR(__xludf.DUMMYFUNCTION("""COMPUTED_VALUE"""),3.0)</f>
        <v>3</v>
      </c>
      <c r="I106" s="11" t="str">
        <f>IFERROR(__xludf.DUMMYFUNCTION("""COMPUTED_VALUE"""),"[DRAS] Dr. Rakib Ahmed Saleh")</f>
        <v>[DRAS] Dr. Rakib Ahmed Saleh</v>
      </c>
      <c r="J106" s="13">
        <f t="shared" si="1"/>
        <v>1</v>
      </c>
    </row>
    <row r="107">
      <c r="A107" s="11" t="str">
        <f>IFERROR(__xludf.DUMMYFUNCTION("""COMPUTED_VALUE"""),"C")</f>
        <v>C</v>
      </c>
      <c r="B107" s="11" t="str">
        <f>IFERROR(__xludf.DUMMYFUNCTION("""COMPUTED_VALUE"""),"Slot - 10")</f>
        <v>Slot - 10</v>
      </c>
      <c r="C107" s="11" t="str">
        <f>IFERROR(__xludf.DUMMYFUNCTION("""COMPUTED_VALUE"""),"16.04.2026")</f>
        <v>16.04.2026</v>
      </c>
      <c r="D107" s="12">
        <f>IFERROR(__xludf.DUMMYFUNCTION("""COMPUTED_VALUE"""),0.3541666666678793)</f>
        <v>0.3541666667</v>
      </c>
      <c r="E107" s="12">
        <f>IFERROR(__xludf.DUMMYFUNCTION("""COMPUTED_VALUE"""),0.4166666666678793)</f>
        <v>0.4166666667</v>
      </c>
      <c r="F107" s="11" t="str">
        <f>IFERROR(__xludf.DUMMYFUNCTION("""COMPUTED_VALUE"""),"CSE473.1")</f>
        <v>CSE473.1</v>
      </c>
      <c r="G107" s="11" t="str">
        <f>IFERROR(__xludf.DUMMYFUNCTION("""COMPUTED_VALUE"""),"Software Development and Project Management")</f>
        <v>Software Development and Project Management</v>
      </c>
      <c r="H107" s="13">
        <f>IFERROR(__xludf.DUMMYFUNCTION("""COMPUTED_VALUE"""),21.0)</f>
        <v>21</v>
      </c>
      <c r="I107" s="11" t="str">
        <f>IFERROR(__xludf.DUMMYFUNCTION("""COMPUTED_VALUE"""),"[DRAS] Dr. Rakib Ahmed Saleh")</f>
        <v>[DRAS] Dr. Rakib Ahmed Saleh</v>
      </c>
      <c r="J107" s="13">
        <f t="shared" si="1"/>
        <v>1</v>
      </c>
    </row>
    <row r="108">
      <c r="A108" s="11" t="str">
        <f>IFERROR(__xludf.DUMMYFUNCTION("""COMPUTED_VALUE"""),"C")</f>
        <v>C</v>
      </c>
      <c r="B108" s="11" t="str">
        <f>IFERROR(__xludf.DUMMYFUNCTION("""COMPUTED_VALUE"""),"Slot - 10")</f>
        <v>Slot - 10</v>
      </c>
      <c r="C108" s="11" t="str">
        <f>IFERROR(__xludf.DUMMYFUNCTION("""COMPUTED_VALUE"""),"16.04.2026")</f>
        <v>16.04.2026</v>
      </c>
      <c r="D108" s="12">
        <f>IFERROR(__xludf.DUMMYFUNCTION("""COMPUTED_VALUE"""),0.3541666666678793)</f>
        <v>0.3541666667</v>
      </c>
      <c r="E108" s="12">
        <f>IFERROR(__xludf.DUMMYFUNCTION("""COMPUTED_VALUE"""),0.4166666666678793)</f>
        <v>0.4166666667</v>
      </c>
      <c r="F108" s="11" t="str">
        <f>IFERROR(__xludf.DUMMYFUNCTION("""COMPUTED_VALUE"""),"CSE473.2")</f>
        <v>CSE473.2</v>
      </c>
      <c r="G108" s="11" t="str">
        <f>IFERROR(__xludf.DUMMYFUNCTION("""COMPUTED_VALUE"""),"Software Development and Project Management")</f>
        <v>Software Development and Project Management</v>
      </c>
      <c r="H108" s="13">
        <f>IFERROR(__xludf.DUMMYFUNCTION("""COMPUTED_VALUE"""),30.0)</f>
        <v>30</v>
      </c>
      <c r="I108" s="11" t="str">
        <f>IFERROR(__xludf.DUMMYFUNCTION("""COMPUTED_VALUE"""),"[DRAS] Dr. Rakib Ahmed Saleh")</f>
        <v>[DRAS] Dr. Rakib Ahmed Saleh</v>
      </c>
      <c r="J108" s="13">
        <f t="shared" si="1"/>
        <v>1</v>
      </c>
    </row>
    <row r="109">
      <c r="A109" s="11" t="str">
        <f>IFERROR(__xludf.DUMMYFUNCTION("""COMPUTED_VALUE"""),"D")</f>
        <v>D</v>
      </c>
      <c r="B109" s="11" t="str">
        <f>IFERROR(__xludf.DUMMYFUNCTION("""COMPUTED_VALUE"""),"Slot - E")</f>
        <v>Slot - E</v>
      </c>
      <c r="C109" s="11" t="str">
        <f>IFERROR(__xludf.DUMMYFUNCTION("""COMPUTED_VALUE"""),"18.04.2026")</f>
        <v>18.04.2026</v>
      </c>
      <c r="D109" s="12">
        <f>IFERROR(__xludf.DUMMYFUNCTION("""COMPUTED_VALUE"""),0.6666666666678793)</f>
        <v>0.6666666667</v>
      </c>
      <c r="E109" s="12">
        <f>IFERROR(__xludf.DUMMYFUNCTION("""COMPUTED_VALUE"""),0.7291666666678793)</f>
        <v>0.7291666667</v>
      </c>
      <c r="F109" s="11" t="str">
        <f>IFERROR(__xludf.DUMMYFUNCTION("""COMPUTED_VALUE"""),"CSE475.5")</f>
        <v>CSE475.5</v>
      </c>
      <c r="G109" s="11" t="str">
        <f>IFERROR(__xludf.DUMMYFUNCTION("""COMPUTED_VALUE"""),"Management Information System")</f>
        <v>Management Information System</v>
      </c>
      <c r="H109" s="13">
        <f>IFERROR(__xludf.DUMMYFUNCTION("""COMPUTED_VALUE"""),43.0)</f>
        <v>43</v>
      </c>
      <c r="I109" s="11" t="str">
        <f>IFERROR(__xludf.DUMMYFUNCTION("""COMPUTED_VALUE"""),"[DRAT] Dr. Ashis Talukder")</f>
        <v>[DRAT] Dr. Ashis Talukder</v>
      </c>
      <c r="J109" s="13">
        <f t="shared" si="1"/>
        <v>-1</v>
      </c>
    </row>
    <row r="110">
      <c r="A110" s="11" t="str">
        <f>IFERROR(__xludf.DUMMYFUNCTION("""COMPUTED_VALUE"""),"D")</f>
        <v>D</v>
      </c>
      <c r="B110" s="11" t="str">
        <f>IFERROR(__xludf.DUMMYFUNCTION("""COMPUTED_VALUE"""),"Slot - F")</f>
        <v>Slot - F</v>
      </c>
      <c r="C110" s="11" t="str">
        <f>IFERROR(__xludf.DUMMYFUNCTION("""COMPUTED_VALUE"""),"18.04.2026")</f>
        <v>18.04.2026</v>
      </c>
      <c r="D110" s="12">
        <f>IFERROR(__xludf.DUMMYFUNCTION("""COMPUTED_VALUE"""),0.7916666666678793)</f>
        <v>0.7916666667</v>
      </c>
      <c r="E110" s="12">
        <f>IFERROR(__xludf.DUMMYFUNCTION("""COMPUTED_VALUE"""),0.8541666666678793)</f>
        <v>0.8541666667</v>
      </c>
      <c r="F110" s="11" t="str">
        <f>IFERROR(__xludf.DUMMYFUNCTION("""COMPUTED_VALUE"""),"CSE475.4")</f>
        <v>CSE475.4</v>
      </c>
      <c r="G110" s="11" t="str">
        <f>IFERROR(__xludf.DUMMYFUNCTION("""COMPUTED_VALUE"""),"Management Information System")</f>
        <v>Management Information System</v>
      </c>
      <c r="H110" s="13">
        <f>IFERROR(__xludf.DUMMYFUNCTION("""COMPUTED_VALUE"""),41.0)</f>
        <v>41</v>
      </c>
      <c r="I110" s="11" t="str">
        <f>IFERROR(__xludf.DUMMYFUNCTION("""COMPUTED_VALUE"""),"[DRAT] Dr. Ashis Talukder")</f>
        <v>[DRAT] Dr. Ashis Talukder</v>
      </c>
      <c r="J110" s="13">
        <f t="shared" si="1"/>
        <v>-1</v>
      </c>
    </row>
    <row r="111">
      <c r="A111" s="11" t="str">
        <f>IFERROR(__xludf.DUMMYFUNCTION("""COMPUTED_VALUE"""),"D")</f>
        <v>D</v>
      </c>
      <c r="B111" s="11" t="str">
        <f>IFERROR(__xludf.DUMMYFUNCTION("""COMPUTED_VALUE"""),"Slot - I")</f>
        <v>Slot - I</v>
      </c>
      <c r="C111" s="11" t="str">
        <f>IFERROR(__xludf.DUMMYFUNCTION("""COMPUTED_VALUE"""),"24.04.2026")</f>
        <v>24.04.2026</v>
      </c>
      <c r="D111" s="12">
        <f>IFERROR(__xludf.DUMMYFUNCTION("""COMPUTED_VALUE"""),0.6041666666678793)</f>
        <v>0.6041666667</v>
      </c>
      <c r="E111" s="12">
        <f>IFERROR(__xludf.DUMMYFUNCTION("""COMPUTED_VALUE"""),0.6666666666678793)</f>
        <v>0.6666666667</v>
      </c>
      <c r="F111" s="11" t="str">
        <f>IFERROR(__xludf.DUMMYFUNCTION("""COMPUTED_VALUE"""),"CSE363.14")</f>
        <v>CSE363.14</v>
      </c>
      <c r="G111" s="11" t="str">
        <f>IFERROR(__xludf.DUMMYFUNCTION("""COMPUTED_VALUE"""),"Microprocessor Design &amp; Assembly Language Programming")</f>
        <v>Microprocessor Design &amp; Assembly Language Programming</v>
      </c>
      <c r="H111" s="13">
        <f>IFERROR(__xludf.DUMMYFUNCTION("""COMPUTED_VALUE"""),25.0)</f>
        <v>25</v>
      </c>
      <c r="I111" s="11" t="str">
        <f>IFERROR(__xludf.DUMMYFUNCTION("""COMPUTED_VALUE"""),"[DSAK] Prof. Dr. Shamim Akhter")</f>
        <v>[DSAK] Prof. Dr. Shamim Akhter</v>
      </c>
      <c r="J111" s="13">
        <f t="shared" si="1"/>
        <v>1</v>
      </c>
    </row>
    <row r="112">
      <c r="A112" s="11" t="str">
        <f>IFERROR(__xludf.DUMMYFUNCTION("""COMPUTED_VALUE"""),"D")</f>
        <v>D</v>
      </c>
      <c r="B112" s="11" t="str">
        <f>IFERROR(__xludf.DUMMYFUNCTION("""COMPUTED_VALUE"""),"Slot - K")</f>
        <v>Slot - K</v>
      </c>
      <c r="C112" s="11" t="str">
        <f>IFERROR(__xludf.DUMMYFUNCTION("""COMPUTED_VALUE"""),"25.04.2026")</f>
        <v>25.04.2026</v>
      </c>
      <c r="D112" s="12">
        <f>IFERROR(__xludf.DUMMYFUNCTION("""COMPUTED_VALUE"""),0.3541666666678793)</f>
        <v>0.3541666667</v>
      </c>
      <c r="E112" s="12">
        <f>IFERROR(__xludf.DUMMYFUNCTION("""COMPUTED_VALUE"""),0.4166666666678793)</f>
        <v>0.4166666667</v>
      </c>
      <c r="F112" s="11" t="str">
        <f>IFERROR(__xludf.DUMMYFUNCTION("""COMPUTED_VALUE"""),"CSE363.15")</f>
        <v>CSE363.15</v>
      </c>
      <c r="G112" s="11" t="str">
        <f>IFERROR(__xludf.DUMMYFUNCTION("""COMPUTED_VALUE"""),"Microprocessor Design &amp; Assembly Language Programming")</f>
        <v>Microprocessor Design &amp; Assembly Language Programming</v>
      </c>
      <c r="H112" s="13">
        <f>IFERROR(__xludf.DUMMYFUNCTION("""COMPUTED_VALUE"""),27.0)</f>
        <v>27</v>
      </c>
      <c r="I112" s="11" t="str">
        <f>IFERROR(__xludf.DUMMYFUNCTION("""COMPUTED_VALUE"""),"[DSAK] Prof. Dr. Shamim Akhter")</f>
        <v>[DSAK] Prof. Dr. Shamim Akhter</v>
      </c>
      <c r="J112" s="13">
        <f t="shared" si="1"/>
        <v>1</v>
      </c>
    </row>
    <row r="113">
      <c r="A113" s="11" t="str">
        <f>IFERROR(__xludf.DUMMYFUNCTION("""COMPUTED_VALUE"""),"C")</f>
        <v>C</v>
      </c>
      <c r="B113" s="11" t="str">
        <f>IFERROR(__xludf.DUMMYFUNCTION("""COMPUTED_VALUE"""),"Slot - 09")</f>
        <v>Slot - 09</v>
      </c>
      <c r="C113" s="11" t="str">
        <f>IFERROR(__xludf.DUMMYFUNCTION("""COMPUTED_VALUE"""),"15.04.2026")</f>
        <v>15.04.2026</v>
      </c>
      <c r="D113" s="12">
        <f>IFERROR(__xludf.DUMMYFUNCTION("""COMPUTED_VALUE"""),0.6041666666678793)</f>
        <v>0.6041666667</v>
      </c>
      <c r="E113" s="12">
        <f>IFERROR(__xludf.DUMMYFUNCTION("""COMPUTED_VALUE"""),0.6666666666678793)</f>
        <v>0.6666666667</v>
      </c>
      <c r="F113" s="11" t="str">
        <f>IFERROR(__xludf.DUMMYFUNCTION("""COMPUTED_VALUE"""),"ENG105.22")</f>
        <v>ENG105.22</v>
      </c>
      <c r="G113" s="11" t="str">
        <f>IFERROR(__xludf.DUMMYFUNCTION("""COMPUTED_VALUE"""),"Public Speaking")</f>
        <v>Public Speaking</v>
      </c>
      <c r="H113" s="13">
        <f>IFERROR(__xludf.DUMMYFUNCTION("""COMPUTED_VALUE"""),29.0)</f>
        <v>29</v>
      </c>
      <c r="I113" s="11" t="str">
        <f>IFERROR(__xludf.DUMMYFUNCTION("""COMPUTED_VALUE"""),"[DSK] Dr. Mst. Shahanaz Khanam")</f>
        <v>[DSK] Dr. Mst. Shahanaz Khanam</v>
      </c>
      <c r="J113" s="13">
        <f t="shared" si="1"/>
        <v>-1</v>
      </c>
    </row>
    <row r="114">
      <c r="A114" s="11" t="str">
        <f>IFERROR(__xludf.DUMMYFUNCTION("""COMPUTED_VALUE"""),"C")</f>
        <v>C</v>
      </c>
      <c r="B114" s="11" t="str">
        <f>IFERROR(__xludf.DUMMYFUNCTION("""COMPUTED_VALUE"""),"Slot - 19")</f>
        <v>Slot - 19</v>
      </c>
      <c r="C114" s="11" t="str">
        <f>IFERROR(__xludf.DUMMYFUNCTION("""COMPUTED_VALUE"""),"20.04.2026")</f>
        <v>20.04.2026</v>
      </c>
      <c r="D114" s="12">
        <f>IFERROR(__xludf.DUMMYFUNCTION("""COMPUTED_VALUE"""),0.3541666666678793)</f>
        <v>0.3541666667</v>
      </c>
      <c r="E114" s="12">
        <f>IFERROR(__xludf.DUMMYFUNCTION("""COMPUTED_VALUE"""),0.4166666666678793)</f>
        <v>0.4166666667</v>
      </c>
      <c r="F114" s="11" t="str">
        <f>IFERROR(__xludf.DUMMYFUNCTION("""COMPUTED_VALUE"""),"CSE181.11")</f>
        <v>CSE181.11</v>
      </c>
      <c r="G114" s="11" t="str">
        <f>IFERROR(__xludf.DUMMYFUNCTION("""COMPUTED_VALUE"""),"Discrete Mathematics")</f>
        <v>Discrete Mathematics</v>
      </c>
      <c r="H114" s="13">
        <f>IFERROR(__xludf.DUMMYFUNCTION("""COMPUTED_VALUE"""),38.0)</f>
        <v>38</v>
      </c>
      <c r="I114" s="11" t="str">
        <f>IFERROR(__xludf.DUMMYFUNCTION("""COMPUTED_VALUE"""),"[DUR] Dr. Md. Ruhul Amin")</f>
        <v>[DUR] Dr. Md. Ruhul Amin</v>
      </c>
      <c r="J114" s="13">
        <f t="shared" si="1"/>
        <v>1</v>
      </c>
    </row>
    <row r="115">
      <c r="A115" s="11" t="str">
        <f>IFERROR(__xludf.DUMMYFUNCTION("""COMPUTED_VALUE"""),"C")</f>
        <v>C</v>
      </c>
      <c r="B115" s="11" t="str">
        <f>IFERROR(__xludf.DUMMYFUNCTION("""COMPUTED_VALUE"""),"Slot - 19")</f>
        <v>Slot - 19</v>
      </c>
      <c r="C115" s="11" t="str">
        <f>IFERROR(__xludf.DUMMYFUNCTION("""COMPUTED_VALUE"""),"20.04.2026")</f>
        <v>20.04.2026</v>
      </c>
      <c r="D115" s="12">
        <f>IFERROR(__xludf.DUMMYFUNCTION("""COMPUTED_VALUE"""),0.3541666666678793)</f>
        <v>0.3541666667</v>
      </c>
      <c r="E115" s="12">
        <f>IFERROR(__xludf.DUMMYFUNCTION("""COMPUTED_VALUE"""),0.4166666666678793)</f>
        <v>0.4166666667</v>
      </c>
      <c r="F115" s="11" t="str">
        <f>IFERROR(__xludf.DUMMYFUNCTION("""COMPUTED_VALUE"""),"CSE341.3")</f>
        <v>CSE341.3</v>
      </c>
      <c r="G115" s="11" t="str">
        <f>IFERROR(__xludf.DUMMYFUNCTION("""COMPUTED_VALUE"""),"Computer Networking")</f>
        <v>Computer Networking</v>
      </c>
      <c r="H115" s="13">
        <f>IFERROR(__xludf.DUMMYFUNCTION("""COMPUTED_VALUE"""),30.0)</f>
        <v>30</v>
      </c>
      <c r="I115" s="11" t="str">
        <f>IFERROR(__xludf.DUMMYFUNCTION("""COMPUTED_VALUE"""),"[DUR] Dr. Md. Ruhul Amin")</f>
        <v>[DUR] Dr. Md. Ruhul Amin</v>
      </c>
      <c r="J115" s="13">
        <f t="shared" si="1"/>
        <v>1</v>
      </c>
    </row>
    <row r="116">
      <c r="A116" s="11" t="str">
        <f>IFERROR(__xludf.DUMMYFUNCTION("""COMPUTED_VALUE"""),"C")</f>
        <v>C</v>
      </c>
      <c r="B116" s="11" t="str">
        <f>IFERROR(__xludf.DUMMYFUNCTION("""COMPUTED_VALUE"""),"Slot - 20")</f>
        <v>Slot - 20</v>
      </c>
      <c r="C116" s="11" t="str">
        <f>IFERROR(__xludf.DUMMYFUNCTION("""COMPUTED_VALUE"""),"20.04.2026")</f>
        <v>20.04.2026</v>
      </c>
      <c r="D116" s="12">
        <f>IFERROR(__xludf.DUMMYFUNCTION("""COMPUTED_VALUE"""),0.4791666666678793)</f>
        <v>0.4791666667</v>
      </c>
      <c r="E116" s="12">
        <f>IFERROR(__xludf.DUMMYFUNCTION("""COMPUTED_VALUE"""),0.5416666666678793)</f>
        <v>0.5416666667</v>
      </c>
      <c r="F116" s="11" t="str">
        <f>IFERROR(__xludf.DUMMYFUNCTION("""COMPUTED_VALUE"""),"ETE281.4")</f>
        <v>ETE281.4</v>
      </c>
      <c r="G116" s="11" t="str">
        <f>IFERROR(__xludf.DUMMYFUNCTION("""COMPUTED_VALUE"""),"Communication Theory")</f>
        <v>Communication Theory</v>
      </c>
      <c r="H116" s="13">
        <f>IFERROR(__xludf.DUMMYFUNCTION("""COMPUTED_VALUE"""),29.0)</f>
        <v>29</v>
      </c>
      <c r="I116" s="11" t="str">
        <f>IFERROR(__xludf.DUMMYFUNCTION("""COMPUTED_VALUE"""),"[DUR] Dr. Md. Ruhul Amin")</f>
        <v>[DUR] Dr. Md. Ruhul Amin</v>
      </c>
      <c r="J116" s="13">
        <f t="shared" si="1"/>
        <v>1</v>
      </c>
    </row>
    <row r="117">
      <c r="A117" s="11" t="str">
        <f>IFERROR(__xludf.DUMMYFUNCTION("""COMPUTED_VALUE"""),"C")</f>
        <v>C</v>
      </c>
      <c r="B117" s="11" t="str">
        <f>IFERROR(__xludf.DUMMYFUNCTION("""COMPUTED_VALUE"""),"Slot - 22")</f>
        <v>Slot - 22</v>
      </c>
      <c r="C117" s="11" t="str">
        <f>IFERROR(__xludf.DUMMYFUNCTION("""COMPUTED_VALUE"""),"21.04.2026")</f>
        <v>21.04.2026</v>
      </c>
      <c r="D117" s="12">
        <f>IFERROR(__xludf.DUMMYFUNCTION("""COMPUTED_VALUE"""),0.3541666666678793)</f>
        <v>0.3541666667</v>
      </c>
      <c r="E117" s="12">
        <f>IFERROR(__xludf.DUMMYFUNCTION("""COMPUTED_VALUE"""),0.4166666666678793)</f>
        <v>0.4166666667</v>
      </c>
      <c r="F117" s="11" t="str">
        <f>IFERROR(__xludf.DUMMYFUNCTION("""COMPUTED_VALUE"""),"PHY1103.10")</f>
        <v>PHY1103.10</v>
      </c>
      <c r="G117" s="11" t="str">
        <f>IFERROR(__xludf.DUMMYFUNCTION("""COMPUTED_VALUE"""),"Physics I")</f>
        <v>Physics I</v>
      </c>
      <c r="H117" s="13">
        <f>IFERROR(__xludf.DUMMYFUNCTION("""COMPUTED_VALUE"""),31.0)</f>
        <v>31</v>
      </c>
      <c r="I117" s="11" t="str">
        <f>IFERROR(__xludf.DUMMYFUNCTION("""COMPUTED_VALUE"""),"[EJS] Emratul Jannat Swapna")</f>
        <v>[EJS] Emratul Jannat Swapna</v>
      </c>
      <c r="J117" s="13">
        <f t="shared" si="1"/>
        <v>-1</v>
      </c>
    </row>
    <row r="118">
      <c r="A118" s="11" t="str">
        <f>IFERROR(__xludf.DUMMYFUNCTION("""COMPUTED_VALUE"""),"C")</f>
        <v>C</v>
      </c>
      <c r="B118" s="11" t="str">
        <f>IFERROR(__xludf.DUMMYFUNCTION("""COMPUTED_VALUE"""),"Slot - 22")</f>
        <v>Slot - 22</v>
      </c>
      <c r="C118" s="11" t="str">
        <f>IFERROR(__xludf.DUMMYFUNCTION("""COMPUTED_VALUE"""),"21.04.2026")</f>
        <v>21.04.2026</v>
      </c>
      <c r="D118" s="12">
        <f>IFERROR(__xludf.DUMMYFUNCTION("""COMPUTED_VALUE"""),0.3541666666678793)</f>
        <v>0.3541666667</v>
      </c>
      <c r="E118" s="12">
        <f>IFERROR(__xludf.DUMMYFUNCTION("""COMPUTED_VALUE"""),0.4166666666678793)</f>
        <v>0.4166666667</v>
      </c>
      <c r="F118" s="11" t="str">
        <f>IFERROR(__xludf.DUMMYFUNCTION("""COMPUTED_VALUE"""),"PHY1103.11")</f>
        <v>PHY1103.11</v>
      </c>
      <c r="G118" s="11" t="str">
        <f>IFERROR(__xludf.DUMMYFUNCTION("""COMPUTED_VALUE"""),"Physics I")</f>
        <v>Physics I</v>
      </c>
      <c r="H118" s="13">
        <f>IFERROR(__xludf.DUMMYFUNCTION("""COMPUTED_VALUE"""),30.0)</f>
        <v>30</v>
      </c>
      <c r="I118" s="11" t="str">
        <f>IFERROR(__xludf.DUMMYFUNCTION("""COMPUTED_VALUE"""),"[EJS] Emratul Jannat Swapna")</f>
        <v>[EJS] Emratul Jannat Swapna</v>
      </c>
      <c r="J118" s="13">
        <f t="shared" si="1"/>
        <v>-1</v>
      </c>
    </row>
    <row r="119">
      <c r="A119" s="11" t="str">
        <f>IFERROR(__xludf.DUMMYFUNCTION("""COMPUTED_VALUE"""),"C")</f>
        <v>C</v>
      </c>
      <c r="B119" s="11" t="str">
        <f>IFERROR(__xludf.DUMMYFUNCTION("""COMPUTED_VALUE"""),"Slot - 20")</f>
        <v>Slot - 20</v>
      </c>
      <c r="C119" s="11" t="str">
        <f>IFERROR(__xludf.DUMMYFUNCTION("""COMPUTED_VALUE"""),"20.04.2026")</f>
        <v>20.04.2026</v>
      </c>
      <c r="D119" s="12">
        <f>IFERROR(__xludf.DUMMYFUNCTION("""COMPUTED_VALUE"""),0.4791666666678793)</f>
        <v>0.4791666667</v>
      </c>
      <c r="E119" s="12">
        <f>IFERROR(__xludf.DUMMYFUNCTION("""COMPUTED_VALUE"""),0.5416666666678793)</f>
        <v>0.5416666667</v>
      </c>
      <c r="F119" s="11" t="str">
        <f>IFERROR(__xludf.DUMMYFUNCTION("""COMPUTED_VALUE"""),"ETE281.10")</f>
        <v>ETE281.10</v>
      </c>
      <c r="G119" s="11" t="str">
        <f>IFERROR(__xludf.DUMMYFUNCTION("""COMPUTED_VALUE"""),"Communication Theory")</f>
        <v>Communication Theory</v>
      </c>
      <c r="H119" s="13">
        <f>IFERROR(__xludf.DUMMYFUNCTION("""COMPUTED_VALUE"""),40.0)</f>
        <v>40</v>
      </c>
      <c r="I119" s="11" t="str">
        <f>IFERROR(__xludf.DUMMYFUNCTION("""COMPUTED_VALUE"""),"[FAFA] Faika Fairuj Preotee")</f>
        <v>[FAFA] Faika Fairuj Preotee</v>
      </c>
      <c r="J119" s="13">
        <f t="shared" si="1"/>
        <v>1</v>
      </c>
    </row>
    <row r="120">
      <c r="A120" s="11" t="str">
        <f>IFERROR(__xludf.DUMMYFUNCTION("""COMPUTED_VALUE"""),"C")</f>
        <v>C</v>
      </c>
      <c r="B120" s="11" t="str">
        <f>IFERROR(__xludf.DUMMYFUNCTION("""COMPUTED_VALUE"""),"Slot - 20")</f>
        <v>Slot - 20</v>
      </c>
      <c r="C120" s="11" t="str">
        <f>IFERROR(__xludf.DUMMYFUNCTION("""COMPUTED_VALUE"""),"20.04.2026")</f>
        <v>20.04.2026</v>
      </c>
      <c r="D120" s="12">
        <f>IFERROR(__xludf.DUMMYFUNCTION("""COMPUTED_VALUE"""),0.4791666666678793)</f>
        <v>0.4791666667</v>
      </c>
      <c r="E120" s="12">
        <f>IFERROR(__xludf.DUMMYFUNCTION("""COMPUTED_VALUE"""),0.5416666666678793)</f>
        <v>0.5416666667</v>
      </c>
      <c r="F120" s="11" t="str">
        <f>IFERROR(__xludf.DUMMYFUNCTION("""COMPUTED_VALUE"""),"ETE281.11")</f>
        <v>ETE281.11</v>
      </c>
      <c r="G120" s="11" t="str">
        <f>IFERROR(__xludf.DUMMYFUNCTION("""COMPUTED_VALUE"""),"Communication Theory")</f>
        <v>Communication Theory</v>
      </c>
      <c r="H120" s="13">
        <f>IFERROR(__xludf.DUMMYFUNCTION("""COMPUTED_VALUE"""),40.0)</f>
        <v>40</v>
      </c>
      <c r="I120" s="11" t="str">
        <f>IFERROR(__xludf.DUMMYFUNCTION("""COMPUTED_VALUE"""),"[FAFA] Faika Fairuj Preotee")</f>
        <v>[FAFA] Faika Fairuj Preotee</v>
      </c>
      <c r="J120" s="13">
        <f t="shared" si="1"/>
        <v>1</v>
      </c>
    </row>
    <row r="121">
      <c r="A121" s="11" t="str">
        <f>IFERROR(__xludf.DUMMYFUNCTION("""COMPUTED_VALUE"""),"C")</f>
        <v>C</v>
      </c>
      <c r="B121" s="11" t="str">
        <f>IFERROR(__xludf.DUMMYFUNCTION("""COMPUTED_VALUE"""),"Slot - 10")</f>
        <v>Slot - 10</v>
      </c>
      <c r="C121" s="11" t="str">
        <f>IFERROR(__xludf.DUMMYFUNCTION("""COMPUTED_VALUE"""),"16.04.2026")</f>
        <v>16.04.2026</v>
      </c>
      <c r="D121" s="12">
        <f>IFERROR(__xludf.DUMMYFUNCTION("""COMPUTED_VALUE"""),0.3541666666678793)</f>
        <v>0.3541666667</v>
      </c>
      <c r="E121" s="12">
        <f>IFERROR(__xludf.DUMMYFUNCTION("""COMPUTED_VALUE"""),0.4166666666678793)</f>
        <v>0.4166666667</v>
      </c>
      <c r="F121" s="11" t="str">
        <f>IFERROR(__xludf.DUMMYFUNCTION("""COMPUTED_VALUE"""),"GED1111.3")</f>
        <v>GED1111.3</v>
      </c>
      <c r="G121" s="11" t="str">
        <f>IFERROR(__xludf.DUMMYFUNCTION("""COMPUTED_VALUE"""),"Principles of Accounting")</f>
        <v>Principles of Accounting</v>
      </c>
      <c r="H121" s="13">
        <f>IFERROR(__xludf.DUMMYFUNCTION("""COMPUTED_VALUE"""),33.0)</f>
        <v>33</v>
      </c>
      <c r="I121" s="11" t="str">
        <f>IFERROR(__xludf.DUMMYFUNCTION("""COMPUTED_VALUE"""),"[FARA] Farhana Akter")</f>
        <v>[FARA] Farhana Akter</v>
      </c>
      <c r="J121" s="13">
        <f t="shared" si="1"/>
        <v>-1</v>
      </c>
    </row>
    <row r="122">
      <c r="A122" s="11" t="str">
        <f>IFERROR(__xludf.DUMMYFUNCTION("""COMPUTED_VALUE"""),"C")</f>
        <v>C</v>
      </c>
      <c r="B122" s="11" t="str">
        <f>IFERROR(__xludf.DUMMYFUNCTION("""COMPUTED_VALUE"""),"Slot - 05")</f>
        <v>Slot - 05</v>
      </c>
      <c r="C122" s="11" t="str">
        <f>IFERROR(__xludf.DUMMYFUNCTION("""COMPUTED_VALUE"""),"13.04.2026")</f>
        <v>13.04.2026</v>
      </c>
      <c r="D122" s="12">
        <f>IFERROR(__xludf.DUMMYFUNCTION("""COMPUTED_VALUE"""),0.4791666666678793)</f>
        <v>0.4791666667</v>
      </c>
      <c r="E122" s="12">
        <f>IFERROR(__xludf.DUMMYFUNCTION("""COMPUTED_VALUE"""),0.5416666666678793)</f>
        <v>0.5416666667</v>
      </c>
      <c r="F122" s="11" t="str">
        <f>IFERROR(__xludf.DUMMYFUNCTION("""COMPUTED_VALUE"""),"CSE441.1")</f>
        <v>CSE441.1</v>
      </c>
      <c r="G122" s="11" t="str">
        <f>IFERROR(__xludf.DUMMYFUNCTION("""COMPUTED_VALUE"""),"Theory of Computing")</f>
        <v>Theory of Computing</v>
      </c>
      <c r="H122" s="13">
        <f>IFERROR(__xludf.DUMMYFUNCTION("""COMPUTED_VALUE"""),41.0)</f>
        <v>41</v>
      </c>
      <c r="I122" s="11" t="str">
        <f>IFERROR(__xludf.DUMMYFUNCTION("""COMPUTED_VALUE"""),"[FBH] Md. Ferdous Bin Hafiz")</f>
        <v>[FBH] Md. Ferdous Bin Hafiz</v>
      </c>
      <c r="J122" s="13">
        <f t="shared" si="1"/>
        <v>1</v>
      </c>
    </row>
    <row r="123">
      <c r="A123" s="11" t="str">
        <f>IFERROR(__xludf.DUMMYFUNCTION("""COMPUTED_VALUE"""),"C")</f>
        <v>C</v>
      </c>
      <c r="B123" s="11" t="str">
        <f>IFERROR(__xludf.DUMMYFUNCTION("""COMPUTED_VALUE"""),"Slot - 05")</f>
        <v>Slot - 05</v>
      </c>
      <c r="C123" s="11" t="str">
        <f>IFERROR(__xludf.DUMMYFUNCTION("""COMPUTED_VALUE"""),"13.04.2026")</f>
        <v>13.04.2026</v>
      </c>
      <c r="D123" s="12">
        <f>IFERROR(__xludf.DUMMYFUNCTION("""COMPUTED_VALUE"""),0.4791666666678793)</f>
        <v>0.4791666667</v>
      </c>
      <c r="E123" s="12">
        <f>IFERROR(__xludf.DUMMYFUNCTION("""COMPUTED_VALUE"""),0.5416666666678793)</f>
        <v>0.5416666667</v>
      </c>
      <c r="F123" s="11" t="str">
        <f>IFERROR(__xludf.DUMMYFUNCTION("""COMPUTED_VALUE"""),"CSE441.2")</f>
        <v>CSE441.2</v>
      </c>
      <c r="G123" s="11" t="str">
        <f>IFERROR(__xludf.DUMMYFUNCTION("""COMPUTED_VALUE"""),"Theory of Computing")</f>
        <v>Theory of Computing</v>
      </c>
      <c r="H123" s="13">
        <f>IFERROR(__xludf.DUMMYFUNCTION("""COMPUTED_VALUE"""),41.0)</f>
        <v>41</v>
      </c>
      <c r="I123" s="11" t="str">
        <f>IFERROR(__xludf.DUMMYFUNCTION("""COMPUTED_VALUE"""),"[FBH] Md. Ferdous Bin Hafiz")</f>
        <v>[FBH] Md. Ferdous Bin Hafiz</v>
      </c>
      <c r="J123" s="13">
        <f t="shared" si="1"/>
        <v>1</v>
      </c>
    </row>
    <row r="124">
      <c r="A124" s="11" t="str">
        <f>IFERROR(__xludf.DUMMYFUNCTION("""COMPUTED_VALUE"""),"C")</f>
        <v>C</v>
      </c>
      <c r="B124" s="11" t="str">
        <f>IFERROR(__xludf.DUMMYFUNCTION("""COMPUTED_VALUE"""),"Slot - 20")</f>
        <v>Slot - 20</v>
      </c>
      <c r="C124" s="11" t="str">
        <f>IFERROR(__xludf.DUMMYFUNCTION("""COMPUTED_VALUE"""),"20.04.2026")</f>
        <v>20.04.2026</v>
      </c>
      <c r="D124" s="12">
        <f>IFERROR(__xludf.DUMMYFUNCTION("""COMPUTED_VALUE"""),0.4791666666678793)</f>
        <v>0.4791666667</v>
      </c>
      <c r="E124" s="12">
        <f>IFERROR(__xludf.DUMMYFUNCTION("""COMPUTED_VALUE"""),0.5416666666678793)</f>
        <v>0.5416666667</v>
      </c>
      <c r="F124" s="11" t="str">
        <f>IFERROR(__xludf.DUMMYFUNCTION("""COMPUTED_VALUE"""),"CSE181.2")</f>
        <v>CSE181.2</v>
      </c>
      <c r="G124" s="11" t="str">
        <f>IFERROR(__xludf.DUMMYFUNCTION("""COMPUTED_VALUE"""),"Discrete Mathematics")</f>
        <v>Discrete Mathematics</v>
      </c>
      <c r="H124" s="13">
        <f>IFERROR(__xludf.DUMMYFUNCTION("""COMPUTED_VALUE"""),39.0)</f>
        <v>39</v>
      </c>
      <c r="I124" s="11" t="str">
        <f>IFERROR(__xludf.DUMMYFUNCTION("""COMPUTED_VALUE"""),"[FBH] Md. Ferdous Bin Hafiz")</f>
        <v>[FBH] Md. Ferdous Bin Hafiz</v>
      </c>
      <c r="J124" s="13">
        <f t="shared" si="1"/>
        <v>1</v>
      </c>
    </row>
    <row r="125">
      <c r="A125" s="11" t="str">
        <f>IFERROR(__xludf.DUMMYFUNCTION("""COMPUTED_VALUE"""),"C")</f>
        <v>C</v>
      </c>
      <c r="B125" s="11" t="str">
        <f>IFERROR(__xludf.DUMMYFUNCTION("""COMPUTED_VALUE"""),"Slot - 20")</f>
        <v>Slot - 20</v>
      </c>
      <c r="C125" s="11" t="str">
        <f>IFERROR(__xludf.DUMMYFUNCTION("""COMPUTED_VALUE"""),"20.04.2026")</f>
        <v>20.04.2026</v>
      </c>
      <c r="D125" s="12">
        <f>IFERROR(__xludf.DUMMYFUNCTION("""COMPUTED_VALUE"""),0.4791666666678793)</f>
        <v>0.4791666667</v>
      </c>
      <c r="E125" s="12">
        <f>IFERROR(__xludf.DUMMYFUNCTION("""COMPUTED_VALUE"""),0.5416666666678793)</f>
        <v>0.5416666667</v>
      </c>
      <c r="F125" s="11" t="str">
        <f>IFERROR(__xludf.DUMMYFUNCTION("""COMPUTED_VALUE"""),"CSE181.3")</f>
        <v>CSE181.3</v>
      </c>
      <c r="G125" s="11" t="str">
        <f>IFERROR(__xludf.DUMMYFUNCTION("""COMPUTED_VALUE"""),"Discrete Mathematics")</f>
        <v>Discrete Mathematics</v>
      </c>
      <c r="H125" s="13">
        <f>IFERROR(__xludf.DUMMYFUNCTION("""COMPUTED_VALUE"""),38.0)</f>
        <v>38</v>
      </c>
      <c r="I125" s="11" t="str">
        <f>IFERROR(__xludf.DUMMYFUNCTION("""COMPUTED_VALUE"""),"[FBH] Md. Ferdous Bin Hafiz")</f>
        <v>[FBH] Md. Ferdous Bin Hafiz</v>
      </c>
      <c r="J125" s="13">
        <f t="shared" si="1"/>
        <v>1</v>
      </c>
    </row>
    <row r="126">
      <c r="A126" s="11" t="str">
        <f>IFERROR(__xludf.DUMMYFUNCTION("""COMPUTED_VALUE"""),"C")</f>
        <v>C</v>
      </c>
      <c r="B126" s="11" t="str">
        <f>IFERROR(__xludf.DUMMYFUNCTION("""COMPUTED_VALUE"""),"Slot - 20")</f>
        <v>Slot - 20</v>
      </c>
      <c r="C126" s="11" t="str">
        <f>IFERROR(__xludf.DUMMYFUNCTION("""COMPUTED_VALUE"""),"20.04.2026")</f>
        <v>20.04.2026</v>
      </c>
      <c r="D126" s="12">
        <f>IFERROR(__xludf.DUMMYFUNCTION("""COMPUTED_VALUE"""),0.4791666666678793)</f>
        <v>0.4791666667</v>
      </c>
      <c r="E126" s="12">
        <f>IFERROR(__xludf.DUMMYFUNCTION("""COMPUTED_VALUE"""),0.5416666666678793)</f>
        <v>0.5416666667</v>
      </c>
      <c r="F126" s="11" t="str">
        <f>IFERROR(__xludf.DUMMYFUNCTION("""COMPUTED_VALUE"""),"CSE181.4")</f>
        <v>CSE181.4</v>
      </c>
      <c r="G126" s="11" t="str">
        <f>IFERROR(__xludf.DUMMYFUNCTION("""COMPUTED_VALUE"""),"Discrete Mathematics")</f>
        <v>Discrete Mathematics</v>
      </c>
      <c r="H126" s="13">
        <f>IFERROR(__xludf.DUMMYFUNCTION("""COMPUTED_VALUE"""),35.0)</f>
        <v>35</v>
      </c>
      <c r="I126" s="11" t="str">
        <f>IFERROR(__xludf.DUMMYFUNCTION("""COMPUTED_VALUE"""),"[FBH] Md. Ferdous Bin Hafiz")</f>
        <v>[FBH] Md. Ferdous Bin Hafiz</v>
      </c>
      <c r="J126" s="13">
        <f t="shared" si="1"/>
        <v>1</v>
      </c>
    </row>
    <row r="127">
      <c r="A127" s="11" t="str">
        <f>IFERROR(__xludf.DUMMYFUNCTION("""COMPUTED_VALUE"""),"C")</f>
        <v>C</v>
      </c>
      <c r="B127" s="11" t="str">
        <f>IFERROR(__xludf.DUMMYFUNCTION("""COMPUTED_VALUE"""),"Slot - 14")</f>
        <v>Slot - 14</v>
      </c>
      <c r="C127" s="11" t="str">
        <f>IFERROR(__xludf.DUMMYFUNCTION("""COMPUTED_VALUE"""),"18.04.2026")</f>
        <v>18.04.2026</v>
      </c>
      <c r="D127" s="12">
        <f>IFERROR(__xludf.DUMMYFUNCTION("""COMPUTED_VALUE"""),0.4583333333321207)</f>
        <v>0.4583333333</v>
      </c>
      <c r="E127" s="12">
        <f>IFERROR(__xludf.DUMMYFUNCTION("""COMPUTED_VALUE"""),0.5208333333321207)</f>
        <v>0.5208333333</v>
      </c>
      <c r="F127" s="11" t="str">
        <f>IFERROR(__xludf.DUMMYFUNCTION("""COMPUTED_VALUE"""),"CSE281.1")</f>
        <v>CSE281.1</v>
      </c>
      <c r="G127" s="11" t="str">
        <f>IFERROR(__xludf.DUMMYFUNCTION("""COMPUTED_VALUE"""),"Introduction to Programming Language II (Java)")</f>
        <v>Introduction to Programming Language II (Java)</v>
      </c>
      <c r="H127" s="13">
        <f>IFERROR(__xludf.DUMMYFUNCTION("""COMPUTED_VALUE"""),41.0)</f>
        <v>41</v>
      </c>
      <c r="I127" s="11" t="str">
        <f>IFERROR(__xludf.DUMMYFUNCTION("""COMPUTED_VALUE"""),"[FIZA] Nabiha Fiza")</f>
        <v>[FIZA] Nabiha Fiza</v>
      </c>
      <c r="J127" s="13">
        <f t="shared" si="1"/>
        <v>-1</v>
      </c>
    </row>
    <row r="128">
      <c r="A128" s="11" t="str">
        <f>IFERROR(__xludf.DUMMYFUNCTION("""COMPUTED_VALUE"""),"C")</f>
        <v>C</v>
      </c>
      <c r="B128" s="11" t="str">
        <f>IFERROR(__xludf.DUMMYFUNCTION("""COMPUTED_VALUE"""),"Slot - 14")</f>
        <v>Slot - 14</v>
      </c>
      <c r="C128" s="11" t="str">
        <f>IFERROR(__xludf.DUMMYFUNCTION("""COMPUTED_VALUE"""),"18.04.2026")</f>
        <v>18.04.2026</v>
      </c>
      <c r="D128" s="12">
        <f>IFERROR(__xludf.DUMMYFUNCTION("""COMPUTED_VALUE"""),0.4583333333321207)</f>
        <v>0.4583333333</v>
      </c>
      <c r="E128" s="12">
        <f>IFERROR(__xludf.DUMMYFUNCTION("""COMPUTED_VALUE"""),0.5208333333321207)</f>
        <v>0.5208333333</v>
      </c>
      <c r="F128" s="11" t="str">
        <f>IFERROR(__xludf.DUMMYFUNCTION("""COMPUTED_VALUE"""),"CSE281.2")</f>
        <v>CSE281.2</v>
      </c>
      <c r="G128" s="11" t="str">
        <f>IFERROR(__xludf.DUMMYFUNCTION("""COMPUTED_VALUE"""),"Introduction to Programming Language II (Java)")</f>
        <v>Introduction to Programming Language II (Java)</v>
      </c>
      <c r="H128" s="13">
        <f>IFERROR(__xludf.DUMMYFUNCTION("""COMPUTED_VALUE"""),41.0)</f>
        <v>41</v>
      </c>
      <c r="I128" s="11" t="str">
        <f>IFERROR(__xludf.DUMMYFUNCTION("""COMPUTED_VALUE"""),"[FIZA] Nabiha Fiza")</f>
        <v>[FIZA] Nabiha Fiza</v>
      </c>
      <c r="J128" s="13">
        <f t="shared" si="1"/>
        <v>-1</v>
      </c>
    </row>
    <row r="129">
      <c r="A129" s="11" t="str">
        <f>IFERROR(__xludf.DUMMYFUNCTION("""COMPUTED_VALUE"""),"C")</f>
        <v>C</v>
      </c>
      <c r="B129" s="11" t="str">
        <f>IFERROR(__xludf.DUMMYFUNCTION("""COMPUTED_VALUE"""),"Slot - 17")</f>
        <v>Slot - 17</v>
      </c>
      <c r="C129" s="11" t="str">
        <f>IFERROR(__xludf.DUMMYFUNCTION("""COMPUTED_VALUE"""),"19.04.2026")</f>
        <v>19.04.2026</v>
      </c>
      <c r="D129" s="12">
        <f>IFERROR(__xludf.DUMMYFUNCTION("""COMPUTED_VALUE"""),0.4791666666678793)</f>
        <v>0.4791666667</v>
      </c>
      <c r="E129" s="12">
        <f>IFERROR(__xludf.DUMMYFUNCTION("""COMPUTED_VALUE"""),0.5416666666678793)</f>
        <v>0.5416666667</v>
      </c>
      <c r="F129" s="11" t="str">
        <f>IFERROR(__xludf.DUMMYFUNCTION("""COMPUTED_VALUE"""),"ECO461.10")</f>
        <v>ECO461.10</v>
      </c>
      <c r="G129" s="11" t="str">
        <f>IFERROR(__xludf.DUMMYFUNCTION("""COMPUTED_VALUE"""),"Introduction to Economics")</f>
        <v>Introduction to Economics</v>
      </c>
      <c r="H129" s="13">
        <f>IFERROR(__xludf.DUMMYFUNCTION("""COMPUTED_VALUE"""),41.0)</f>
        <v>41</v>
      </c>
      <c r="I129" s="11" t="str">
        <f>IFERROR(__xludf.DUMMYFUNCTION("""COMPUTED_VALUE"""),"[FK] Dr. Foyasal Khan")</f>
        <v>[FK] Dr. Foyasal Khan</v>
      </c>
      <c r="J129" s="13">
        <f t="shared" si="1"/>
        <v>1</v>
      </c>
    </row>
    <row r="130">
      <c r="A130" s="11" t="str">
        <f>IFERROR(__xludf.DUMMYFUNCTION("""COMPUTED_VALUE"""),"C")</f>
        <v>C</v>
      </c>
      <c r="B130" s="11" t="str">
        <f>IFERROR(__xludf.DUMMYFUNCTION("""COMPUTED_VALUE"""),"Slot - 17")</f>
        <v>Slot - 17</v>
      </c>
      <c r="C130" s="11" t="str">
        <f>IFERROR(__xludf.DUMMYFUNCTION("""COMPUTED_VALUE"""),"19.04.2026")</f>
        <v>19.04.2026</v>
      </c>
      <c r="D130" s="12">
        <f>IFERROR(__xludf.DUMMYFUNCTION("""COMPUTED_VALUE"""),0.4791666666678793)</f>
        <v>0.4791666667</v>
      </c>
      <c r="E130" s="12">
        <f>IFERROR(__xludf.DUMMYFUNCTION("""COMPUTED_VALUE"""),0.5416666666678793)</f>
        <v>0.5416666667</v>
      </c>
      <c r="F130" s="11" t="str">
        <f>IFERROR(__xludf.DUMMYFUNCTION("""COMPUTED_VALUE"""),"ECO461.11")</f>
        <v>ECO461.11</v>
      </c>
      <c r="G130" s="11" t="str">
        <f>IFERROR(__xludf.DUMMYFUNCTION("""COMPUTED_VALUE"""),"Introduction to Economics")</f>
        <v>Introduction to Economics</v>
      </c>
      <c r="H130" s="13">
        <f>IFERROR(__xludf.DUMMYFUNCTION("""COMPUTED_VALUE"""),40.0)</f>
        <v>40</v>
      </c>
      <c r="I130" s="11" t="str">
        <f>IFERROR(__xludf.DUMMYFUNCTION("""COMPUTED_VALUE"""),"[FK] Dr. Foyasal Khan")</f>
        <v>[FK] Dr. Foyasal Khan</v>
      </c>
      <c r="J130" s="13">
        <f t="shared" si="1"/>
        <v>1</v>
      </c>
    </row>
    <row r="131">
      <c r="A131" s="11" t="str">
        <f>IFERROR(__xludf.DUMMYFUNCTION("""COMPUTED_VALUE"""),"C")</f>
        <v>C</v>
      </c>
      <c r="B131" s="11" t="str">
        <f>IFERROR(__xludf.DUMMYFUNCTION("""COMPUTED_VALUE"""),"Slot - 17")</f>
        <v>Slot - 17</v>
      </c>
      <c r="C131" s="11" t="str">
        <f>IFERROR(__xludf.DUMMYFUNCTION("""COMPUTED_VALUE"""),"19.04.2026")</f>
        <v>19.04.2026</v>
      </c>
      <c r="D131" s="12">
        <f>IFERROR(__xludf.DUMMYFUNCTION("""COMPUTED_VALUE"""),0.4791666666678793)</f>
        <v>0.4791666667</v>
      </c>
      <c r="E131" s="12">
        <f>IFERROR(__xludf.DUMMYFUNCTION("""COMPUTED_VALUE"""),0.5416666666678793)</f>
        <v>0.5416666667</v>
      </c>
      <c r="F131" s="11" t="str">
        <f>IFERROR(__xludf.DUMMYFUNCTION("""COMPUTED_VALUE"""),"CSE261.1")</f>
        <v>CSE261.1</v>
      </c>
      <c r="G131" s="11" t="str">
        <f>IFERROR(__xludf.DUMMYFUNCTION("""COMPUTED_VALUE"""),"Numerical Methods")</f>
        <v>Numerical Methods</v>
      </c>
      <c r="H131" s="13">
        <f>IFERROR(__xludf.DUMMYFUNCTION("""COMPUTED_VALUE"""),39.0)</f>
        <v>39</v>
      </c>
      <c r="I131" s="11" t="str">
        <f>IFERROR(__xludf.DUMMYFUNCTION("""COMPUTED_VALUE"""),"[FUZ] Farhad Uz Zaman")</f>
        <v>[FUZ] Farhad Uz Zaman</v>
      </c>
      <c r="J131" s="13">
        <f t="shared" si="1"/>
        <v>-1</v>
      </c>
    </row>
    <row r="132">
      <c r="A132" s="11" t="str">
        <f>IFERROR(__xludf.DUMMYFUNCTION("""COMPUTED_VALUE"""),"C")</f>
        <v>C</v>
      </c>
      <c r="B132" s="11" t="str">
        <f>IFERROR(__xludf.DUMMYFUNCTION("""COMPUTED_VALUE"""),"Slot - 17")</f>
        <v>Slot - 17</v>
      </c>
      <c r="C132" s="11" t="str">
        <f>IFERROR(__xludf.DUMMYFUNCTION("""COMPUTED_VALUE"""),"19.04.2026")</f>
        <v>19.04.2026</v>
      </c>
      <c r="D132" s="12">
        <f>IFERROR(__xludf.DUMMYFUNCTION("""COMPUTED_VALUE"""),0.4791666666678793)</f>
        <v>0.4791666667</v>
      </c>
      <c r="E132" s="12">
        <f>IFERROR(__xludf.DUMMYFUNCTION("""COMPUTED_VALUE"""),0.5416666666678793)</f>
        <v>0.5416666667</v>
      </c>
      <c r="F132" s="11" t="str">
        <f>IFERROR(__xludf.DUMMYFUNCTION("""COMPUTED_VALUE"""),"CSE261.2")</f>
        <v>CSE261.2</v>
      </c>
      <c r="G132" s="11" t="str">
        <f>IFERROR(__xludf.DUMMYFUNCTION("""COMPUTED_VALUE"""),"Numerical Methods")</f>
        <v>Numerical Methods</v>
      </c>
      <c r="H132" s="13">
        <f>IFERROR(__xludf.DUMMYFUNCTION("""COMPUTED_VALUE"""),39.0)</f>
        <v>39</v>
      </c>
      <c r="I132" s="11" t="str">
        <f>IFERROR(__xludf.DUMMYFUNCTION("""COMPUTED_VALUE"""),"[FUZ] Farhad Uz Zaman")</f>
        <v>[FUZ] Farhad Uz Zaman</v>
      </c>
      <c r="J132" s="13">
        <f t="shared" si="1"/>
        <v>-1</v>
      </c>
    </row>
    <row r="133">
      <c r="A133" s="11" t="str">
        <f>IFERROR(__xludf.DUMMYFUNCTION("""COMPUTED_VALUE"""),"C")</f>
        <v>C</v>
      </c>
      <c r="B133" s="11" t="str">
        <f>IFERROR(__xludf.DUMMYFUNCTION("""COMPUTED_VALUE"""),"Slot - 19")</f>
        <v>Slot - 19</v>
      </c>
      <c r="C133" s="11" t="str">
        <f>IFERROR(__xludf.DUMMYFUNCTION("""COMPUTED_VALUE"""),"20.04.2026")</f>
        <v>20.04.2026</v>
      </c>
      <c r="D133" s="12">
        <f>IFERROR(__xludf.DUMMYFUNCTION("""COMPUTED_VALUE"""),0.3541666666678793)</f>
        <v>0.3541666667</v>
      </c>
      <c r="E133" s="12">
        <f>IFERROR(__xludf.DUMMYFUNCTION("""COMPUTED_VALUE"""),0.4166666666678793)</f>
        <v>0.4166666667</v>
      </c>
      <c r="F133" s="11" t="str">
        <f>IFERROR(__xludf.DUMMYFUNCTION("""COMPUTED_VALUE"""),"CSE263.1")</f>
        <v>CSE263.1</v>
      </c>
      <c r="G133" s="11" t="str">
        <f>IFERROR(__xludf.DUMMYFUNCTION("""COMPUTED_VALUE"""),"Digital Logic Design")</f>
        <v>Digital Logic Design</v>
      </c>
      <c r="H133" s="13">
        <f>IFERROR(__xludf.DUMMYFUNCTION("""COMPUTED_VALUE"""),40.0)</f>
        <v>40</v>
      </c>
      <c r="I133" s="11" t="str">
        <f>IFERROR(__xludf.DUMMYFUNCTION("""COMPUTED_VALUE"""),"[FUZ] Farhad Uz Zaman")</f>
        <v>[FUZ] Farhad Uz Zaman</v>
      </c>
      <c r="J133" s="13">
        <f t="shared" si="1"/>
        <v>-1</v>
      </c>
    </row>
    <row r="134">
      <c r="A134" s="11" t="str">
        <f>IFERROR(__xludf.DUMMYFUNCTION("""COMPUTED_VALUE"""),"C")</f>
        <v>C</v>
      </c>
      <c r="B134" s="11" t="str">
        <f>IFERROR(__xludf.DUMMYFUNCTION("""COMPUTED_VALUE"""),"Slot - 19")</f>
        <v>Slot - 19</v>
      </c>
      <c r="C134" s="11" t="str">
        <f>IFERROR(__xludf.DUMMYFUNCTION("""COMPUTED_VALUE"""),"20.04.2026")</f>
        <v>20.04.2026</v>
      </c>
      <c r="D134" s="12">
        <f>IFERROR(__xludf.DUMMYFUNCTION("""COMPUTED_VALUE"""),0.3541666666678793)</f>
        <v>0.3541666667</v>
      </c>
      <c r="E134" s="12">
        <f>IFERROR(__xludf.DUMMYFUNCTION("""COMPUTED_VALUE"""),0.4166666666678793)</f>
        <v>0.4166666667</v>
      </c>
      <c r="F134" s="11" t="str">
        <f>IFERROR(__xludf.DUMMYFUNCTION("""COMPUTED_VALUE"""),"CSE263.2")</f>
        <v>CSE263.2</v>
      </c>
      <c r="G134" s="11" t="str">
        <f>IFERROR(__xludf.DUMMYFUNCTION("""COMPUTED_VALUE"""),"Digital Logic Design")</f>
        <v>Digital Logic Design</v>
      </c>
      <c r="H134" s="13">
        <f>IFERROR(__xludf.DUMMYFUNCTION("""COMPUTED_VALUE"""),39.0)</f>
        <v>39</v>
      </c>
      <c r="I134" s="11" t="str">
        <f>IFERROR(__xludf.DUMMYFUNCTION("""COMPUTED_VALUE"""),"[FUZ] Farhad Uz Zaman")</f>
        <v>[FUZ] Farhad Uz Zaman</v>
      </c>
      <c r="J134" s="13">
        <f t="shared" si="1"/>
        <v>-1</v>
      </c>
    </row>
    <row r="135">
      <c r="A135" s="11" t="str">
        <f>IFERROR(__xludf.DUMMYFUNCTION("""COMPUTED_VALUE"""),"C")</f>
        <v>C</v>
      </c>
      <c r="B135" s="11" t="str">
        <f>IFERROR(__xludf.DUMMYFUNCTION("""COMPUTED_VALUE"""),"Slot - 07")</f>
        <v>Slot - 07</v>
      </c>
      <c r="C135" s="11" t="str">
        <f>IFERROR(__xludf.DUMMYFUNCTION("""COMPUTED_VALUE"""),"15.04.2026")</f>
        <v>15.04.2026</v>
      </c>
      <c r="D135" s="12">
        <f>IFERROR(__xludf.DUMMYFUNCTION("""COMPUTED_VALUE"""),0.3541666666678793)</f>
        <v>0.3541666667</v>
      </c>
      <c r="E135" s="12">
        <f>IFERROR(__xludf.DUMMYFUNCTION("""COMPUTED_VALUE"""),0.4166666666678793)</f>
        <v>0.4166666667</v>
      </c>
      <c r="F135" s="11" t="str">
        <f>IFERROR(__xludf.DUMMYFUNCTION("""COMPUTED_VALUE"""),"GED1111.1")</f>
        <v>GED1111.1</v>
      </c>
      <c r="G135" s="11" t="str">
        <f>IFERROR(__xludf.DUMMYFUNCTION("""COMPUTED_VALUE"""),"Principles of Accounting")</f>
        <v>Principles of Accounting</v>
      </c>
      <c r="H135" s="13">
        <f>IFERROR(__xludf.DUMMYFUNCTION("""COMPUTED_VALUE"""),30.0)</f>
        <v>30</v>
      </c>
      <c r="I135" s="11" t="str">
        <f>IFERROR(__xludf.DUMMYFUNCTION("""COMPUTED_VALUE"""),"[FZC] Dr. Faieza Chowdhury")</f>
        <v>[FZC] Dr. Faieza Chowdhury</v>
      </c>
      <c r="J135" s="13">
        <f t="shared" si="1"/>
        <v>1</v>
      </c>
    </row>
    <row r="136">
      <c r="A136" s="11" t="str">
        <f>IFERROR(__xludf.DUMMYFUNCTION("""COMPUTED_VALUE"""),"C")</f>
        <v>C</v>
      </c>
      <c r="B136" s="11" t="str">
        <f>IFERROR(__xludf.DUMMYFUNCTION("""COMPUTED_VALUE"""),"Slot - 07")</f>
        <v>Slot - 07</v>
      </c>
      <c r="C136" s="11" t="str">
        <f>IFERROR(__xludf.DUMMYFUNCTION("""COMPUTED_VALUE"""),"15.04.2026")</f>
        <v>15.04.2026</v>
      </c>
      <c r="D136" s="12">
        <f>IFERROR(__xludf.DUMMYFUNCTION("""COMPUTED_VALUE"""),0.3541666666678793)</f>
        <v>0.3541666667</v>
      </c>
      <c r="E136" s="12">
        <f>IFERROR(__xludf.DUMMYFUNCTION("""COMPUTED_VALUE"""),0.4166666666678793)</f>
        <v>0.4166666667</v>
      </c>
      <c r="F136" s="11" t="str">
        <f>IFERROR(__xludf.DUMMYFUNCTION("""COMPUTED_VALUE"""),"GED1111.5")</f>
        <v>GED1111.5</v>
      </c>
      <c r="G136" s="11" t="str">
        <f>IFERROR(__xludf.DUMMYFUNCTION("""COMPUTED_VALUE"""),"Principles of Accounting")</f>
        <v>Principles of Accounting</v>
      </c>
      <c r="H136" s="13">
        <f>IFERROR(__xludf.DUMMYFUNCTION("""COMPUTED_VALUE"""),31.0)</f>
        <v>31</v>
      </c>
      <c r="I136" s="11" t="str">
        <f>IFERROR(__xludf.DUMMYFUNCTION("""COMPUTED_VALUE"""),"[FZC] Dr. Faieza Chowdhury")</f>
        <v>[FZC] Dr. Faieza Chowdhury</v>
      </c>
      <c r="J136" s="13">
        <f t="shared" si="1"/>
        <v>1</v>
      </c>
    </row>
    <row r="137">
      <c r="A137" s="11" t="str">
        <f>IFERROR(__xludf.DUMMYFUNCTION("""COMPUTED_VALUE"""),"C")</f>
        <v>C</v>
      </c>
      <c r="B137" s="11" t="str">
        <f>IFERROR(__xludf.DUMMYFUNCTION("""COMPUTED_VALUE"""),"Slot - 07")</f>
        <v>Slot - 07</v>
      </c>
      <c r="C137" s="11" t="str">
        <f>IFERROR(__xludf.DUMMYFUNCTION("""COMPUTED_VALUE"""),"15.04.2026")</f>
        <v>15.04.2026</v>
      </c>
      <c r="D137" s="12">
        <f>IFERROR(__xludf.DUMMYFUNCTION("""COMPUTED_VALUE"""),0.3541666666678793)</f>
        <v>0.3541666667</v>
      </c>
      <c r="E137" s="12">
        <f>IFERROR(__xludf.DUMMYFUNCTION("""COMPUTED_VALUE"""),0.4166666666678793)</f>
        <v>0.4166666667</v>
      </c>
      <c r="F137" s="11" t="str">
        <f>IFERROR(__xludf.DUMMYFUNCTION("""COMPUTED_VALUE"""),"GED1111.8")</f>
        <v>GED1111.8</v>
      </c>
      <c r="G137" s="11" t="str">
        <f>IFERROR(__xludf.DUMMYFUNCTION("""COMPUTED_VALUE"""),"Principles of Accounting")</f>
        <v>Principles of Accounting</v>
      </c>
      <c r="H137" s="13">
        <f>IFERROR(__xludf.DUMMYFUNCTION("""COMPUTED_VALUE"""),31.0)</f>
        <v>31</v>
      </c>
      <c r="I137" s="11" t="str">
        <f>IFERROR(__xludf.DUMMYFUNCTION("""COMPUTED_VALUE"""),"[FZC] Dr. Faieza Chowdhury")</f>
        <v>[FZC] Dr. Faieza Chowdhury</v>
      </c>
      <c r="J137" s="13">
        <f t="shared" si="1"/>
        <v>1</v>
      </c>
    </row>
    <row r="138">
      <c r="A138" s="11" t="str">
        <f>IFERROR(__xludf.DUMMYFUNCTION("""COMPUTED_VALUE"""),"C")</f>
        <v>C</v>
      </c>
      <c r="B138" s="11" t="str">
        <f>IFERROR(__xludf.DUMMYFUNCTION("""COMPUTED_VALUE"""),"Slot - 15")</f>
        <v>Slot - 15</v>
      </c>
      <c r="C138" s="11" t="str">
        <f>IFERROR(__xludf.DUMMYFUNCTION("""COMPUTED_VALUE"""),"18.04.2026")</f>
        <v>18.04.2026</v>
      </c>
      <c r="D138" s="12">
        <f>IFERROR(__xludf.DUMMYFUNCTION("""COMPUTED_VALUE"""),0.5625)</f>
        <v>0.5625</v>
      </c>
      <c r="E138" s="12">
        <f>IFERROR(__xludf.DUMMYFUNCTION("""COMPUTED_VALUE"""),0.625)</f>
        <v>0.625</v>
      </c>
      <c r="F138" s="11" t="str">
        <f>IFERROR(__xludf.DUMMYFUNCTION("""COMPUTED_VALUE"""),"MAT261.4")</f>
        <v>MAT261.4</v>
      </c>
      <c r="G138" s="11" t="str">
        <f>IFERROR(__xludf.DUMMYFUNCTION("""COMPUTED_VALUE"""),"Linear Algebra and Matrices")</f>
        <v>Linear Algebra and Matrices</v>
      </c>
      <c r="H138" s="13">
        <f>IFERROR(__xludf.DUMMYFUNCTION("""COMPUTED_VALUE"""),27.0)</f>
        <v>27</v>
      </c>
      <c r="I138" s="11" t="str">
        <f>IFERROR(__xludf.DUMMYFUNCTION("""COMPUTED_VALUE"""),"[GKS] Goutam Kumar Saha")</f>
        <v>[GKS] Goutam Kumar Saha</v>
      </c>
      <c r="J138" s="13">
        <f t="shared" si="1"/>
        <v>-1</v>
      </c>
    </row>
    <row r="139">
      <c r="A139" s="11" t="str">
        <f>IFERROR(__xludf.DUMMYFUNCTION("""COMPUTED_VALUE"""),"C")</f>
        <v>C</v>
      </c>
      <c r="B139" s="11" t="str">
        <f>IFERROR(__xludf.DUMMYFUNCTION("""COMPUTED_VALUE"""),"Slot - 15")</f>
        <v>Slot - 15</v>
      </c>
      <c r="C139" s="11" t="str">
        <f>IFERROR(__xludf.DUMMYFUNCTION("""COMPUTED_VALUE"""),"18.04.2026")</f>
        <v>18.04.2026</v>
      </c>
      <c r="D139" s="12">
        <f>IFERROR(__xludf.DUMMYFUNCTION("""COMPUTED_VALUE"""),0.5625)</f>
        <v>0.5625</v>
      </c>
      <c r="E139" s="12">
        <f>IFERROR(__xludf.DUMMYFUNCTION("""COMPUTED_VALUE"""),0.625)</f>
        <v>0.625</v>
      </c>
      <c r="F139" s="11" t="str">
        <f>IFERROR(__xludf.DUMMYFUNCTION("""COMPUTED_VALUE"""),"MAT261.5")</f>
        <v>MAT261.5</v>
      </c>
      <c r="G139" s="11" t="str">
        <f>IFERROR(__xludf.DUMMYFUNCTION("""COMPUTED_VALUE"""),"Linear Algebra and Matrices")</f>
        <v>Linear Algebra and Matrices</v>
      </c>
      <c r="H139" s="13">
        <f>IFERROR(__xludf.DUMMYFUNCTION("""COMPUTED_VALUE"""),38.0)</f>
        <v>38</v>
      </c>
      <c r="I139" s="11" t="str">
        <f>IFERROR(__xludf.DUMMYFUNCTION("""COMPUTED_VALUE"""),"[GKS] Goutam Kumar Saha")</f>
        <v>[GKS] Goutam Kumar Saha</v>
      </c>
      <c r="J139" s="13">
        <f t="shared" si="1"/>
        <v>-1</v>
      </c>
    </row>
    <row r="140">
      <c r="A140" s="11" t="str">
        <f>IFERROR(__xludf.DUMMYFUNCTION("""COMPUTED_VALUE"""),"C")</f>
        <v>C</v>
      </c>
      <c r="B140" s="11" t="str">
        <f>IFERROR(__xludf.DUMMYFUNCTION("""COMPUTED_VALUE"""),"Slot - 15")</f>
        <v>Slot - 15</v>
      </c>
      <c r="C140" s="11" t="str">
        <f>IFERROR(__xludf.DUMMYFUNCTION("""COMPUTED_VALUE"""),"18.04.2026")</f>
        <v>18.04.2026</v>
      </c>
      <c r="D140" s="12">
        <f>IFERROR(__xludf.DUMMYFUNCTION("""COMPUTED_VALUE"""),0.5625)</f>
        <v>0.5625</v>
      </c>
      <c r="E140" s="12">
        <f>IFERROR(__xludf.DUMMYFUNCTION("""COMPUTED_VALUE"""),0.625)</f>
        <v>0.625</v>
      </c>
      <c r="F140" s="11" t="str">
        <f>IFERROR(__xludf.DUMMYFUNCTION("""COMPUTED_VALUE"""),"MATH2015.1")</f>
        <v>MATH2015.1</v>
      </c>
      <c r="G140" s="11" t="str">
        <f>IFERROR(__xludf.DUMMYFUNCTION("""COMPUTED_VALUE"""),"Linear Algebra and Matrics")</f>
        <v>Linear Algebra and Matrics</v>
      </c>
      <c r="H140" s="13">
        <f>IFERROR(__xludf.DUMMYFUNCTION("""COMPUTED_VALUE"""),2.0)</f>
        <v>2</v>
      </c>
      <c r="I140" s="11" t="str">
        <f>IFERROR(__xludf.DUMMYFUNCTION("""COMPUTED_VALUE"""),"[GKS] Goutam Kumar Saha")</f>
        <v>[GKS] Goutam Kumar Saha</v>
      </c>
      <c r="J140" s="13">
        <f t="shared" si="1"/>
        <v>-1</v>
      </c>
    </row>
    <row r="141">
      <c r="A141" s="11" t="str">
        <f>IFERROR(__xludf.DUMMYFUNCTION("""COMPUTED_VALUE"""),"C")</f>
        <v>C</v>
      </c>
      <c r="B141" s="11" t="str">
        <f>IFERROR(__xludf.DUMMYFUNCTION("""COMPUTED_VALUE"""),"Slot - 23")</f>
        <v>Slot - 23</v>
      </c>
      <c r="C141" s="11" t="str">
        <f>IFERROR(__xludf.DUMMYFUNCTION("""COMPUTED_VALUE"""),"21.04.2026")</f>
        <v>21.04.2026</v>
      </c>
      <c r="D141" s="12">
        <f>IFERROR(__xludf.DUMMYFUNCTION("""COMPUTED_VALUE"""),0.4791666666678793)</f>
        <v>0.4791666667</v>
      </c>
      <c r="E141" s="12">
        <f>IFERROR(__xludf.DUMMYFUNCTION("""COMPUTED_VALUE"""),0.5416666666678793)</f>
        <v>0.5416666667</v>
      </c>
      <c r="F141" s="11" t="str">
        <f>IFERROR(__xludf.DUMMYFUNCTION("""COMPUTED_VALUE"""),"MAT1103.5")</f>
        <v>MAT1103.5</v>
      </c>
      <c r="G141" s="11" t="str">
        <f>IFERROR(__xludf.DUMMYFUNCTION("""COMPUTED_VALUE"""),"Differential &amp; Integral Calculus")</f>
        <v>Differential &amp; Integral Calculus</v>
      </c>
      <c r="H141" s="13">
        <f>IFERROR(__xludf.DUMMYFUNCTION("""COMPUTED_VALUE"""),31.0)</f>
        <v>31</v>
      </c>
      <c r="I141" s="11" t="str">
        <f>IFERROR(__xludf.DUMMYFUNCTION("""COMPUTED_VALUE"""),"[GM] Golam Mostafa")</f>
        <v>[GM] Golam Mostafa</v>
      </c>
      <c r="J141" s="13">
        <f t="shared" si="1"/>
        <v>1</v>
      </c>
    </row>
    <row r="142">
      <c r="A142" s="11" t="str">
        <f>IFERROR(__xludf.DUMMYFUNCTION("""COMPUTED_VALUE"""),"C")</f>
        <v>C</v>
      </c>
      <c r="B142" s="11" t="str">
        <f>IFERROR(__xludf.DUMMYFUNCTION("""COMPUTED_VALUE"""),"Slot - 23")</f>
        <v>Slot - 23</v>
      </c>
      <c r="C142" s="11" t="str">
        <f>IFERROR(__xludf.DUMMYFUNCTION("""COMPUTED_VALUE"""),"21.04.2026")</f>
        <v>21.04.2026</v>
      </c>
      <c r="D142" s="12">
        <f>IFERROR(__xludf.DUMMYFUNCTION("""COMPUTED_VALUE"""),0.4791666666678793)</f>
        <v>0.4791666667</v>
      </c>
      <c r="E142" s="12">
        <f>IFERROR(__xludf.DUMMYFUNCTION("""COMPUTED_VALUE"""),0.5416666666678793)</f>
        <v>0.5416666667</v>
      </c>
      <c r="F142" s="11" t="str">
        <f>IFERROR(__xludf.DUMMYFUNCTION("""COMPUTED_VALUE"""),"MAT1103.6")</f>
        <v>MAT1103.6</v>
      </c>
      <c r="G142" s="11" t="str">
        <f>IFERROR(__xludf.DUMMYFUNCTION("""COMPUTED_VALUE"""),"Differential &amp; Integral Calculus")</f>
        <v>Differential &amp; Integral Calculus</v>
      </c>
      <c r="H142" s="13">
        <f>IFERROR(__xludf.DUMMYFUNCTION("""COMPUTED_VALUE"""),32.0)</f>
        <v>32</v>
      </c>
      <c r="I142" s="11" t="str">
        <f>IFERROR(__xludf.DUMMYFUNCTION("""COMPUTED_VALUE"""),"[GM] Golam Mostafa")</f>
        <v>[GM] Golam Mostafa</v>
      </c>
      <c r="J142" s="13">
        <f t="shared" si="1"/>
        <v>1</v>
      </c>
    </row>
    <row r="143">
      <c r="A143" s="11" t="str">
        <f>IFERROR(__xludf.DUMMYFUNCTION("""COMPUTED_VALUE"""),"C")</f>
        <v>C</v>
      </c>
      <c r="B143" s="11" t="str">
        <f>IFERROR(__xludf.DUMMYFUNCTION("""COMPUTED_VALUE"""),"Slot - 23")</f>
        <v>Slot - 23</v>
      </c>
      <c r="C143" s="11" t="str">
        <f>IFERROR(__xludf.DUMMYFUNCTION("""COMPUTED_VALUE"""),"21.04.2026")</f>
        <v>21.04.2026</v>
      </c>
      <c r="D143" s="12">
        <f>IFERROR(__xludf.DUMMYFUNCTION("""COMPUTED_VALUE"""),0.4791666666678793)</f>
        <v>0.4791666667</v>
      </c>
      <c r="E143" s="12">
        <f>IFERROR(__xludf.DUMMYFUNCTION("""COMPUTED_VALUE"""),0.5416666666678793)</f>
        <v>0.5416666667</v>
      </c>
      <c r="F143" s="11" t="str">
        <f>IFERROR(__xludf.DUMMYFUNCTION("""COMPUTED_VALUE"""),"MAT1103.7")</f>
        <v>MAT1103.7</v>
      </c>
      <c r="G143" s="11" t="str">
        <f>IFERROR(__xludf.DUMMYFUNCTION("""COMPUTED_VALUE"""),"Differential &amp; Integral Calculus")</f>
        <v>Differential &amp; Integral Calculus</v>
      </c>
      <c r="H143" s="13">
        <f>IFERROR(__xludf.DUMMYFUNCTION("""COMPUTED_VALUE"""),32.0)</f>
        <v>32</v>
      </c>
      <c r="I143" s="11" t="str">
        <f>IFERROR(__xludf.DUMMYFUNCTION("""COMPUTED_VALUE"""),"[GM] Golam Mostafa")</f>
        <v>[GM] Golam Mostafa</v>
      </c>
      <c r="J143" s="13">
        <f t="shared" si="1"/>
        <v>1</v>
      </c>
    </row>
    <row r="144">
      <c r="A144" s="11" t="str">
        <f>IFERROR(__xludf.DUMMYFUNCTION("""COMPUTED_VALUE"""),"C")</f>
        <v>C</v>
      </c>
      <c r="B144" s="11" t="str">
        <f>IFERROR(__xludf.DUMMYFUNCTION("""COMPUTED_VALUE"""),"Slot - 23")</f>
        <v>Slot - 23</v>
      </c>
      <c r="C144" s="11" t="str">
        <f>IFERROR(__xludf.DUMMYFUNCTION("""COMPUTED_VALUE"""),"21.04.2026")</f>
        <v>21.04.2026</v>
      </c>
      <c r="D144" s="12">
        <f>IFERROR(__xludf.DUMMYFUNCTION("""COMPUTED_VALUE"""),0.4791666666678793)</f>
        <v>0.4791666667</v>
      </c>
      <c r="E144" s="12">
        <f>IFERROR(__xludf.DUMMYFUNCTION("""COMPUTED_VALUE"""),0.5416666666678793)</f>
        <v>0.5416666667</v>
      </c>
      <c r="F144" s="11" t="str">
        <f>IFERROR(__xludf.DUMMYFUNCTION("""COMPUTED_VALUE"""),"MAT141.2")</f>
        <v>MAT141.2</v>
      </c>
      <c r="G144" s="11" t="str">
        <f>IFERROR(__xludf.DUMMYFUNCTION("""COMPUTED_VALUE"""),"Differential &amp; Integral Calculus")</f>
        <v>Differential &amp; Integral Calculus</v>
      </c>
      <c r="H144" s="13">
        <f>IFERROR(__xludf.DUMMYFUNCTION("""COMPUTED_VALUE"""),8.0)</f>
        <v>8</v>
      </c>
      <c r="I144" s="11" t="str">
        <f>IFERROR(__xludf.DUMMYFUNCTION("""COMPUTED_VALUE"""),"[GM] Golam Mostafa")</f>
        <v>[GM] Golam Mostafa</v>
      </c>
      <c r="J144" s="13">
        <f t="shared" si="1"/>
        <v>1</v>
      </c>
    </row>
    <row r="145">
      <c r="A145" s="11" t="str">
        <f>IFERROR(__xludf.DUMMYFUNCTION("""COMPUTED_VALUE"""),"C")</f>
        <v>C</v>
      </c>
      <c r="B145" s="11" t="str">
        <f>IFERROR(__xludf.DUMMYFUNCTION("""COMPUTED_VALUE"""),"Slot - 23")</f>
        <v>Slot - 23</v>
      </c>
      <c r="C145" s="11" t="str">
        <f>IFERROR(__xludf.DUMMYFUNCTION("""COMPUTED_VALUE"""),"21.04.2026")</f>
        <v>21.04.2026</v>
      </c>
      <c r="D145" s="12">
        <f>IFERROR(__xludf.DUMMYFUNCTION("""COMPUTED_VALUE"""),0.4791666666678793)</f>
        <v>0.4791666667</v>
      </c>
      <c r="E145" s="12">
        <f>IFERROR(__xludf.DUMMYFUNCTION("""COMPUTED_VALUE"""),0.5416666666678793)</f>
        <v>0.5416666667</v>
      </c>
      <c r="F145" s="11" t="str">
        <f>IFERROR(__xludf.DUMMYFUNCTION("""COMPUTED_VALUE"""),"MAT161.2")</f>
        <v>MAT161.2</v>
      </c>
      <c r="G145" s="11" t="str">
        <f>IFERROR(__xludf.DUMMYFUNCTION("""COMPUTED_VALUE"""),"Coordinate Geometry and Vector Analysis")</f>
        <v>Coordinate Geometry and Vector Analysis</v>
      </c>
      <c r="H145" s="13">
        <f>IFERROR(__xludf.DUMMYFUNCTION("""COMPUTED_VALUE"""),38.0)</f>
        <v>38</v>
      </c>
      <c r="I145" s="11" t="str">
        <f>IFERROR(__xludf.DUMMYFUNCTION("""COMPUTED_VALUE"""),"[GM] Golam Mostafa")</f>
        <v>[GM] Golam Mostafa</v>
      </c>
      <c r="J145" s="13">
        <f t="shared" si="1"/>
        <v>1</v>
      </c>
    </row>
    <row r="146">
      <c r="A146" s="11" t="str">
        <f>IFERROR(__xludf.DUMMYFUNCTION("""COMPUTED_VALUE"""),"C")</f>
        <v>C</v>
      </c>
      <c r="B146" s="11" t="str">
        <f>IFERROR(__xludf.DUMMYFUNCTION("""COMPUTED_VALUE"""),"Slot - 23")</f>
        <v>Slot - 23</v>
      </c>
      <c r="C146" s="11" t="str">
        <f>IFERROR(__xludf.DUMMYFUNCTION("""COMPUTED_VALUE"""),"21.04.2026")</f>
        <v>21.04.2026</v>
      </c>
      <c r="D146" s="12">
        <f>IFERROR(__xludf.DUMMYFUNCTION("""COMPUTED_VALUE"""),0.4791666666678793)</f>
        <v>0.4791666667</v>
      </c>
      <c r="E146" s="12">
        <f>IFERROR(__xludf.DUMMYFUNCTION("""COMPUTED_VALUE"""),0.5416666666678793)</f>
        <v>0.5416666667</v>
      </c>
      <c r="F146" s="11" t="str">
        <f>IFERROR(__xludf.DUMMYFUNCTION("""COMPUTED_VALUE"""),"MAT161.3")</f>
        <v>MAT161.3</v>
      </c>
      <c r="G146" s="11" t="str">
        <f>IFERROR(__xludf.DUMMYFUNCTION("""COMPUTED_VALUE"""),"Coordinate Geometry and Vector Analysis")</f>
        <v>Coordinate Geometry and Vector Analysis</v>
      </c>
      <c r="H146" s="13">
        <f>IFERROR(__xludf.DUMMYFUNCTION("""COMPUTED_VALUE"""),40.0)</f>
        <v>40</v>
      </c>
      <c r="I146" s="11" t="str">
        <f>IFERROR(__xludf.DUMMYFUNCTION("""COMPUTED_VALUE"""),"[GM] Golam Mostafa")</f>
        <v>[GM] Golam Mostafa</v>
      </c>
      <c r="J146" s="13">
        <f t="shared" si="1"/>
        <v>1</v>
      </c>
    </row>
    <row r="147">
      <c r="A147" s="11" t="str">
        <f>IFERROR(__xludf.DUMMYFUNCTION("""COMPUTED_VALUE"""),"D")</f>
        <v>D</v>
      </c>
      <c r="B147" s="11" t="str">
        <f>IFERROR(__xludf.DUMMYFUNCTION("""COMPUTED_VALUE"""),"Slot - A")</f>
        <v>Slot - A</v>
      </c>
      <c r="C147" s="11" t="str">
        <f>IFERROR(__xludf.DUMMYFUNCTION("""COMPUTED_VALUE"""),"17.04.2026")</f>
        <v>17.04.2026</v>
      </c>
      <c r="D147" s="12">
        <f>IFERROR(__xludf.DUMMYFUNCTION("""COMPUTED_VALUE"""),0.375)</f>
        <v>0.375</v>
      </c>
      <c r="E147" s="12">
        <f>IFERROR(__xludf.DUMMYFUNCTION("""COMPUTED_VALUE"""),0.4375)</f>
        <v>0.4375</v>
      </c>
      <c r="F147" s="11" t="str">
        <f>IFERROR(__xludf.DUMMYFUNCTION("""COMPUTED_VALUE"""),"CSE381.8")</f>
        <v>CSE381.8</v>
      </c>
      <c r="G147" s="11" t="str">
        <f>IFERROR(__xludf.DUMMYFUNCTION("""COMPUTED_VALUE"""),"Introduction to Embedded Systems")</f>
        <v>Introduction to Embedded Systems</v>
      </c>
      <c r="H147" s="13">
        <f>IFERROR(__xludf.DUMMYFUNCTION("""COMPUTED_VALUE"""),34.0)</f>
        <v>34</v>
      </c>
      <c r="I147" s="11" t="str">
        <f>IFERROR(__xludf.DUMMYFUNCTION("""COMPUTED_VALUE"""),"[GRB] Golam Rabbany")</f>
        <v>[GRB] Golam Rabbany</v>
      </c>
      <c r="J147" s="13">
        <f t="shared" si="1"/>
        <v>-1</v>
      </c>
    </row>
    <row r="148">
      <c r="A148" s="11" t="str">
        <f>IFERROR(__xludf.DUMMYFUNCTION("""COMPUTED_VALUE"""),"D")</f>
        <v>D</v>
      </c>
      <c r="B148" s="11" t="str">
        <f>IFERROR(__xludf.DUMMYFUNCTION("""COMPUTED_VALUE"""),"Slot - I")</f>
        <v>Slot - I</v>
      </c>
      <c r="C148" s="11" t="str">
        <f>IFERROR(__xludf.DUMMYFUNCTION("""COMPUTED_VALUE"""),"24.04.2026")</f>
        <v>24.04.2026</v>
      </c>
      <c r="D148" s="12">
        <f>IFERROR(__xludf.DUMMYFUNCTION("""COMPUTED_VALUE"""),0.6041666666678793)</f>
        <v>0.6041666667</v>
      </c>
      <c r="E148" s="12">
        <f>IFERROR(__xludf.DUMMYFUNCTION("""COMPUTED_VALUE"""),0.6666666666678793)</f>
        <v>0.6666666667</v>
      </c>
      <c r="F148" s="11" t="str">
        <f>IFERROR(__xludf.DUMMYFUNCTION("""COMPUTED_VALUE"""),"CSE381.7")</f>
        <v>CSE381.7</v>
      </c>
      <c r="G148" s="11" t="str">
        <f>IFERROR(__xludf.DUMMYFUNCTION("""COMPUTED_VALUE"""),"Introduction to Embedded Systems")</f>
        <v>Introduction to Embedded Systems</v>
      </c>
      <c r="H148" s="13">
        <f>IFERROR(__xludf.DUMMYFUNCTION("""COMPUTED_VALUE"""),35.0)</f>
        <v>35</v>
      </c>
      <c r="I148" s="11" t="str">
        <f>IFERROR(__xludf.DUMMYFUNCTION("""COMPUTED_VALUE"""),"[GRB] Golam Rabbany")</f>
        <v>[GRB] Golam Rabbany</v>
      </c>
      <c r="J148" s="13">
        <f t="shared" si="1"/>
        <v>-1</v>
      </c>
    </row>
    <row r="149">
      <c r="A149" s="11" t="str">
        <f>IFERROR(__xludf.DUMMYFUNCTION("""COMPUTED_VALUE"""),"C")</f>
        <v>C</v>
      </c>
      <c r="B149" s="11" t="str">
        <f>IFERROR(__xludf.DUMMYFUNCTION("""COMPUTED_VALUE"""),"Slot - 11")</f>
        <v>Slot - 11</v>
      </c>
      <c r="C149" s="11" t="str">
        <f>IFERROR(__xludf.DUMMYFUNCTION("""COMPUTED_VALUE"""),"16.04.2026")</f>
        <v>16.04.2026</v>
      </c>
      <c r="D149" s="12">
        <f>IFERROR(__xludf.DUMMYFUNCTION("""COMPUTED_VALUE"""),0.4791666666678793)</f>
        <v>0.4791666667</v>
      </c>
      <c r="E149" s="12">
        <f>IFERROR(__xludf.DUMMYFUNCTION("""COMPUTED_VALUE"""),0.5416666666678793)</f>
        <v>0.5416666667</v>
      </c>
      <c r="F149" s="11" t="str">
        <f>IFERROR(__xludf.DUMMYFUNCTION("""COMPUTED_VALUE"""),"CSE343.1")</f>
        <v>CSE343.1</v>
      </c>
      <c r="G149" s="11" t="str">
        <f>IFERROR(__xludf.DUMMYFUNCTION("""COMPUTED_VALUE"""),"Computer Architecture")</f>
        <v>Computer Architecture</v>
      </c>
      <c r="H149" s="13">
        <f>IFERROR(__xludf.DUMMYFUNCTION("""COMPUTED_VALUE"""),40.0)</f>
        <v>40</v>
      </c>
      <c r="I149" s="11" t="str">
        <f>IFERROR(__xludf.DUMMYFUNCTION("""COMPUTED_VALUE"""),"[GZI] Dr. Gazi Zahirul Islam")</f>
        <v>[GZI] Dr. Gazi Zahirul Islam</v>
      </c>
      <c r="J149" s="13">
        <f t="shared" si="1"/>
        <v>1</v>
      </c>
    </row>
    <row r="150">
      <c r="A150" s="11" t="str">
        <f>IFERROR(__xludf.DUMMYFUNCTION("""COMPUTED_VALUE"""),"C")</f>
        <v>C</v>
      </c>
      <c r="B150" s="11" t="str">
        <f>IFERROR(__xludf.DUMMYFUNCTION("""COMPUTED_VALUE"""),"Slot - 11")</f>
        <v>Slot - 11</v>
      </c>
      <c r="C150" s="11" t="str">
        <f>IFERROR(__xludf.DUMMYFUNCTION("""COMPUTED_VALUE"""),"16.04.2026")</f>
        <v>16.04.2026</v>
      </c>
      <c r="D150" s="12">
        <f>IFERROR(__xludf.DUMMYFUNCTION("""COMPUTED_VALUE"""),0.4791666666678793)</f>
        <v>0.4791666667</v>
      </c>
      <c r="E150" s="12">
        <f>IFERROR(__xludf.DUMMYFUNCTION("""COMPUTED_VALUE"""),0.5416666666678793)</f>
        <v>0.5416666667</v>
      </c>
      <c r="F150" s="11" t="str">
        <f>IFERROR(__xludf.DUMMYFUNCTION("""COMPUTED_VALUE"""),"CSE343.2")</f>
        <v>CSE343.2</v>
      </c>
      <c r="G150" s="11" t="str">
        <f>IFERROR(__xludf.DUMMYFUNCTION("""COMPUTED_VALUE"""),"Computer Architecture")</f>
        <v>Computer Architecture</v>
      </c>
      <c r="H150" s="13">
        <f>IFERROR(__xludf.DUMMYFUNCTION("""COMPUTED_VALUE"""),41.0)</f>
        <v>41</v>
      </c>
      <c r="I150" s="11" t="str">
        <f>IFERROR(__xludf.DUMMYFUNCTION("""COMPUTED_VALUE"""),"[GZI] Dr. Gazi Zahirul Islam")</f>
        <v>[GZI] Dr. Gazi Zahirul Islam</v>
      </c>
      <c r="J150" s="13">
        <f t="shared" si="1"/>
        <v>1</v>
      </c>
    </row>
    <row r="151">
      <c r="A151" s="11" t="str">
        <f>IFERROR(__xludf.DUMMYFUNCTION("""COMPUTED_VALUE"""),"C")</f>
        <v>C</v>
      </c>
      <c r="B151" s="11" t="str">
        <f>IFERROR(__xludf.DUMMYFUNCTION("""COMPUTED_VALUE"""),"Slot - 11")</f>
        <v>Slot - 11</v>
      </c>
      <c r="C151" s="11" t="str">
        <f>IFERROR(__xludf.DUMMYFUNCTION("""COMPUTED_VALUE"""),"16.04.2026")</f>
        <v>16.04.2026</v>
      </c>
      <c r="D151" s="12">
        <f>IFERROR(__xludf.DUMMYFUNCTION("""COMPUTED_VALUE"""),0.4791666666678793)</f>
        <v>0.4791666667</v>
      </c>
      <c r="E151" s="12">
        <f>IFERROR(__xludf.DUMMYFUNCTION("""COMPUTED_VALUE"""),0.5416666666678793)</f>
        <v>0.5416666667</v>
      </c>
      <c r="F151" s="11" t="str">
        <f>IFERROR(__xludf.DUMMYFUNCTION("""COMPUTED_VALUE"""),"CSE343.3")</f>
        <v>CSE343.3</v>
      </c>
      <c r="G151" s="11" t="str">
        <f>IFERROR(__xludf.DUMMYFUNCTION("""COMPUTED_VALUE"""),"Computer Architecture")</f>
        <v>Computer Architecture</v>
      </c>
      <c r="H151" s="13">
        <f>IFERROR(__xludf.DUMMYFUNCTION("""COMPUTED_VALUE"""),39.0)</f>
        <v>39</v>
      </c>
      <c r="I151" s="11" t="str">
        <f>IFERROR(__xludf.DUMMYFUNCTION("""COMPUTED_VALUE"""),"[GZI] Dr. Gazi Zahirul Islam")</f>
        <v>[GZI] Dr. Gazi Zahirul Islam</v>
      </c>
      <c r="J151" s="13">
        <f t="shared" si="1"/>
        <v>1</v>
      </c>
    </row>
    <row r="152">
      <c r="A152" s="11" t="str">
        <f>IFERROR(__xludf.DUMMYFUNCTION("""COMPUTED_VALUE"""),"C")</f>
        <v>C</v>
      </c>
      <c r="B152" s="11" t="str">
        <f>IFERROR(__xludf.DUMMYFUNCTION("""COMPUTED_VALUE"""),"Slot - 12")</f>
        <v>Slot - 12</v>
      </c>
      <c r="C152" s="11" t="str">
        <f>IFERROR(__xludf.DUMMYFUNCTION("""COMPUTED_VALUE"""),"16.04.2026")</f>
        <v>16.04.2026</v>
      </c>
      <c r="D152" s="12">
        <f>IFERROR(__xludf.DUMMYFUNCTION("""COMPUTED_VALUE"""),0.6041666666678793)</f>
        <v>0.6041666667</v>
      </c>
      <c r="E152" s="12">
        <f>IFERROR(__xludf.DUMMYFUNCTION("""COMPUTED_VALUE"""),0.6666666666678793)</f>
        <v>0.6666666667</v>
      </c>
      <c r="F152" s="11" t="str">
        <f>IFERROR(__xludf.DUMMYFUNCTION("""COMPUTED_VALUE"""),"EEE241.2")</f>
        <v>EEE241.2</v>
      </c>
      <c r="G152" s="11" t="str">
        <f>IFERROR(__xludf.DUMMYFUNCTION("""COMPUTED_VALUE"""),"Electronic Devices &amp; Circuits I")</f>
        <v>Electronic Devices &amp; Circuits I</v>
      </c>
      <c r="H152" s="13">
        <f>IFERROR(__xludf.DUMMYFUNCTION("""COMPUTED_VALUE"""),37.0)</f>
        <v>37</v>
      </c>
      <c r="I152" s="11" t="str">
        <f>IFERROR(__xludf.DUMMYFUNCTION("""COMPUTED_VALUE"""),"[HAL] H M Tahmeed Ul Islam")</f>
        <v>[HAL] H M Tahmeed Ul Islam</v>
      </c>
      <c r="J152" s="13">
        <f t="shared" si="1"/>
        <v>-1</v>
      </c>
    </row>
    <row r="153">
      <c r="A153" s="11" t="str">
        <f>IFERROR(__xludf.DUMMYFUNCTION("""COMPUTED_VALUE"""),"C")</f>
        <v>C</v>
      </c>
      <c r="B153" s="11" t="str">
        <f>IFERROR(__xludf.DUMMYFUNCTION("""COMPUTED_VALUE"""),"Slot - 12")</f>
        <v>Slot - 12</v>
      </c>
      <c r="C153" s="11" t="str">
        <f>IFERROR(__xludf.DUMMYFUNCTION("""COMPUTED_VALUE"""),"16.04.2026")</f>
        <v>16.04.2026</v>
      </c>
      <c r="D153" s="12">
        <f>IFERROR(__xludf.DUMMYFUNCTION("""COMPUTED_VALUE"""),0.6041666666678793)</f>
        <v>0.6041666667</v>
      </c>
      <c r="E153" s="12">
        <f>IFERROR(__xludf.DUMMYFUNCTION("""COMPUTED_VALUE"""),0.6666666666678793)</f>
        <v>0.6666666667</v>
      </c>
      <c r="F153" s="11" t="str">
        <f>IFERROR(__xludf.DUMMYFUNCTION("""COMPUTED_VALUE"""),"EEE241.3")</f>
        <v>EEE241.3</v>
      </c>
      <c r="G153" s="11" t="str">
        <f>IFERROR(__xludf.DUMMYFUNCTION("""COMPUTED_VALUE"""),"Electronic Devices &amp; Circuits I")</f>
        <v>Electronic Devices &amp; Circuits I</v>
      </c>
      <c r="H153" s="13">
        <f>IFERROR(__xludf.DUMMYFUNCTION("""COMPUTED_VALUE"""),35.0)</f>
        <v>35</v>
      </c>
      <c r="I153" s="11" t="str">
        <f>IFERROR(__xludf.DUMMYFUNCTION("""COMPUTED_VALUE"""),"[HAL] H M Tahmeed Ul Islam")</f>
        <v>[HAL] H M Tahmeed Ul Islam</v>
      </c>
      <c r="J153" s="13">
        <f t="shared" si="1"/>
        <v>-1</v>
      </c>
    </row>
    <row r="154">
      <c r="A154" s="11" t="str">
        <f>IFERROR(__xludf.DUMMYFUNCTION("""COMPUTED_VALUE"""),"C")</f>
        <v>C</v>
      </c>
      <c r="B154" s="11" t="str">
        <f>IFERROR(__xludf.DUMMYFUNCTION("""COMPUTED_VALUE"""),"Slot - 19")</f>
        <v>Slot - 19</v>
      </c>
      <c r="C154" s="11" t="str">
        <f>IFERROR(__xludf.DUMMYFUNCTION("""COMPUTED_VALUE"""),"20.04.2026")</f>
        <v>20.04.2026</v>
      </c>
      <c r="D154" s="12">
        <f>IFERROR(__xludf.DUMMYFUNCTION("""COMPUTED_VALUE"""),0.3541666666678793)</f>
        <v>0.3541666667</v>
      </c>
      <c r="E154" s="12">
        <f>IFERROR(__xludf.DUMMYFUNCTION("""COMPUTED_VALUE"""),0.4166666666678793)</f>
        <v>0.4166666667</v>
      </c>
      <c r="F154" s="11" t="str">
        <f>IFERROR(__xludf.DUMMYFUNCTION("""COMPUTED_VALUE"""),"CSE263.6")</f>
        <v>CSE263.6</v>
      </c>
      <c r="G154" s="11" t="str">
        <f>IFERROR(__xludf.DUMMYFUNCTION("""COMPUTED_VALUE"""),"Digital Logic Design")</f>
        <v>Digital Logic Design</v>
      </c>
      <c r="H154" s="13">
        <f>IFERROR(__xludf.DUMMYFUNCTION("""COMPUTED_VALUE"""),39.0)</f>
        <v>39</v>
      </c>
      <c r="I154" s="11" t="str">
        <f>IFERROR(__xludf.DUMMYFUNCTION("""COMPUTED_VALUE"""),"[HAL] H M Tahmeed Ul Islam")</f>
        <v>[HAL] H M Tahmeed Ul Islam</v>
      </c>
      <c r="J154" s="13">
        <f t="shared" si="1"/>
        <v>-1</v>
      </c>
    </row>
    <row r="155">
      <c r="A155" s="11" t="str">
        <f>IFERROR(__xludf.DUMMYFUNCTION("""COMPUTED_VALUE"""),"C")</f>
        <v>C</v>
      </c>
      <c r="B155" s="11" t="str">
        <f>IFERROR(__xludf.DUMMYFUNCTION("""COMPUTED_VALUE"""),"Slot - 14")</f>
        <v>Slot - 14</v>
      </c>
      <c r="C155" s="11" t="str">
        <f>IFERROR(__xludf.DUMMYFUNCTION("""COMPUTED_VALUE"""),"18.04.2026")</f>
        <v>18.04.2026</v>
      </c>
      <c r="D155" s="12">
        <f>IFERROR(__xludf.DUMMYFUNCTION("""COMPUTED_VALUE"""),0.4583333333321207)</f>
        <v>0.4583333333</v>
      </c>
      <c r="E155" s="12">
        <f>IFERROR(__xludf.DUMMYFUNCTION("""COMPUTED_VALUE"""),0.5208333333321207)</f>
        <v>0.5208333333</v>
      </c>
      <c r="F155" s="11" t="str">
        <f>IFERROR(__xludf.DUMMYFUNCTION("""COMPUTED_VALUE"""),"PHY161.7")</f>
        <v>PHY161.7</v>
      </c>
      <c r="G155" s="11" t="str">
        <f>IFERROR(__xludf.DUMMYFUNCTION("""COMPUTED_VALUE"""),"Physics I")</f>
        <v>Physics I</v>
      </c>
      <c r="H155" s="13">
        <f>IFERROR(__xludf.DUMMYFUNCTION("""COMPUTED_VALUE"""),41.0)</f>
        <v>41</v>
      </c>
      <c r="I155" s="11" t="str">
        <f>IFERROR(__xludf.DUMMYFUNCTION("""COMPUTED_VALUE"""),"[HDU] Md. Hedayet Ullah")</f>
        <v>[HDU] Md. Hedayet Ullah</v>
      </c>
      <c r="J155" s="13">
        <f t="shared" si="1"/>
        <v>1</v>
      </c>
    </row>
    <row r="156">
      <c r="A156" s="11" t="str">
        <f>IFERROR(__xludf.DUMMYFUNCTION("""COMPUTED_VALUE"""),"C")</f>
        <v>C</v>
      </c>
      <c r="B156" s="11" t="str">
        <f>IFERROR(__xludf.DUMMYFUNCTION("""COMPUTED_VALUE"""),"Slot - 14")</f>
        <v>Slot - 14</v>
      </c>
      <c r="C156" s="11" t="str">
        <f>IFERROR(__xludf.DUMMYFUNCTION("""COMPUTED_VALUE"""),"18.04.2026")</f>
        <v>18.04.2026</v>
      </c>
      <c r="D156" s="12">
        <f>IFERROR(__xludf.DUMMYFUNCTION("""COMPUTED_VALUE"""),0.4583333333321207)</f>
        <v>0.4583333333</v>
      </c>
      <c r="E156" s="12">
        <f>IFERROR(__xludf.DUMMYFUNCTION("""COMPUTED_VALUE"""),0.5208333333321207)</f>
        <v>0.5208333333</v>
      </c>
      <c r="F156" s="11" t="str">
        <f>IFERROR(__xludf.DUMMYFUNCTION("""COMPUTED_VALUE"""),"PHY161.8")</f>
        <v>PHY161.8</v>
      </c>
      <c r="G156" s="11" t="str">
        <f>IFERROR(__xludf.DUMMYFUNCTION("""COMPUTED_VALUE"""),"Physics I")</f>
        <v>Physics I</v>
      </c>
      <c r="H156" s="13">
        <f>IFERROR(__xludf.DUMMYFUNCTION("""COMPUTED_VALUE"""),41.0)</f>
        <v>41</v>
      </c>
      <c r="I156" s="11" t="str">
        <f>IFERROR(__xludf.DUMMYFUNCTION("""COMPUTED_VALUE"""),"[HDU] Md. Hedayet Ullah")</f>
        <v>[HDU] Md. Hedayet Ullah</v>
      </c>
      <c r="J156" s="13">
        <f t="shared" si="1"/>
        <v>1</v>
      </c>
    </row>
    <row r="157">
      <c r="A157" s="11" t="str">
        <f>IFERROR(__xludf.DUMMYFUNCTION("""COMPUTED_VALUE"""),"C")</f>
        <v>C</v>
      </c>
      <c r="B157" s="11" t="str">
        <f>IFERROR(__xludf.DUMMYFUNCTION("""COMPUTED_VALUE"""),"Slot - 01")</f>
        <v>Slot - 01</v>
      </c>
      <c r="C157" s="11" t="str">
        <f>IFERROR(__xludf.DUMMYFUNCTION("""COMPUTED_VALUE"""),"12.04.2026")</f>
        <v>12.04.2026</v>
      </c>
      <c r="D157" s="12">
        <f>IFERROR(__xludf.DUMMYFUNCTION("""COMPUTED_VALUE"""),0.3541666666678793)</f>
        <v>0.3541666667</v>
      </c>
      <c r="E157" s="12">
        <f>IFERROR(__xludf.DUMMYFUNCTION("""COMPUTED_VALUE"""),0.4166666666678793)</f>
        <v>0.4166666667</v>
      </c>
      <c r="F157" s="11" t="str">
        <f>IFERROR(__xludf.DUMMYFUNCTION("""COMPUTED_VALUE"""),"CSE383.5")</f>
        <v>CSE383.5</v>
      </c>
      <c r="G157" s="11" t="str">
        <f>IFERROR(__xludf.DUMMYFUNCTION("""COMPUTED_VALUE"""),"Database Design")</f>
        <v>Database Design</v>
      </c>
      <c r="H157" s="13">
        <f>IFERROR(__xludf.DUMMYFUNCTION("""COMPUTED_VALUE"""),39.0)</f>
        <v>39</v>
      </c>
      <c r="I157" s="11" t="str">
        <f>IFERROR(__xludf.DUMMYFUNCTION("""COMPUTED_VALUE"""),"[HUMA] Humira Bentay Mahmud")</f>
        <v>[HUMA] Humira Bentay Mahmud</v>
      </c>
      <c r="J157" s="13">
        <f t="shared" si="1"/>
        <v>-1</v>
      </c>
    </row>
    <row r="158">
      <c r="A158" s="11" t="str">
        <f>IFERROR(__xludf.DUMMYFUNCTION("""COMPUTED_VALUE"""),"D")</f>
        <v>D</v>
      </c>
      <c r="B158" s="11" t="str">
        <f>IFERROR(__xludf.DUMMYFUNCTION("""COMPUTED_VALUE"""),"Slot - L")</f>
        <v>Slot - L</v>
      </c>
      <c r="C158" s="11" t="str">
        <f>IFERROR(__xludf.DUMMYFUNCTION("""COMPUTED_VALUE"""),"25.04.2026")</f>
        <v>25.04.2026</v>
      </c>
      <c r="D158" s="12">
        <f>IFERROR(__xludf.DUMMYFUNCTION("""COMPUTED_VALUE"""),0.4583333333321207)</f>
        <v>0.4583333333</v>
      </c>
      <c r="E158" s="12">
        <f>IFERROR(__xludf.DUMMYFUNCTION("""COMPUTED_VALUE"""),0.5208333333321207)</f>
        <v>0.5208333333</v>
      </c>
      <c r="F158" s="11" t="str">
        <f>IFERROR(__xludf.DUMMYFUNCTION("""COMPUTED_VALUE"""),"ENG101.23")</f>
        <v>ENG101.23</v>
      </c>
      <c r="G158" s="11" t="str">
        <f>IFERROR(__xludf.DUMMYFUNCTION("""COMPUTED_VALUE"""),"Basic English Skills")</f>
        <v>Basic English Skills</v>
      </c>
      <c r="H158" s="13">
        <f>IFERROR(__xludf.DUMMYFUNCTION("""COMPUTED_VALUE"""),18.0)</f>
        <v>18</v>
      </c>
      <c r="I158" s="11" t="str">
        <f>IFERROR(__xludf.DUMMYFUNCTION("""COMPUTED_VALUE"""),"[IFA] Md. Iftekhar Arafath")</f>
        <v>[IFA] Md. Iftekhar Arafath</v>
      </c>
      <c r="J158" s="13">
        <f t="shared" si="1"/>
        <v>1</v>
      </c>
    </row>
    <row r="159">
      <c r="A159" s="11" t="str">
        <f>IFERROR(__xludf.DUMMYFUNCTION("""COMPUTED_VALUE"""),"D")</f>
        <v>D</v>
      </c>
      <c r="B159" s="11" t="str">
        <f>IFERROR(__xludf.DUMMYFUNCTION("""COMPUTED_VALUE"""),"Slot - B")</f>
        <v>Slot - B</v>
      </c>
      <c r="C159" s="11" t="str">
        <f>IFERROR(__xludf.DUMMYFUNCTION("""COMPUTED_VALUE"""),"17.04.2026")</f>
        <v>17.04.2026</v>
      </c>
      <c r="D159" s="12">
        <f>IFERROR(__xludf.DUMMYFUNCTION("""COMPUTED_VALUE"""),0.4791666666678793)</f>
        <v>0.4791666667</v>
      </c>
      <c r="E159" s="12">
        <f>IFERROR(__xludf.DUMMYFUNCTION("""COMPUTED_VALUE"""),0.5416666666678793)</f>
        <v>0.5416666667</v>
      </c>
      <c r="F159" s="11" t="str">
        <f>IFERROR(__xludf.DUMMYFUNCTION("""COMPUTED_VALUE"""),"EEE241.9")</f>
        <v>EEE241.9</v>
      </c>
      <c r="G159" s="11" t="str">
        <f>IFERROR(__xludf.DUMMYFUNCTION("""COMPUTED_VALUE"""),"Electronic Devices &amp; Circuits I")</f>
        <v>Electronic Devices &amp; Circuits I</v>
      </c>
      <c r="H159" s="13">
        <f>IFERROR(__xludf.DUMMYFUNCTION("""COMPUTED_VALUE"""),29.0)</f>
        <v>29</v>
      </c>
      <c r="I159" s="11" t="str">
        <f>IFERROR(__xludf.DUMMYFUNCTION("""COMPUTED_VALUE"""),"[IHS] Imran Hossain Sabuj")</f>
        <v>[IHS] Imran Hossain Sabuj</v>
      </c>
      <c r="J159" s="13">
        <f t="shared" si="1"/>
        <v>-1</v>
      </c>
    </row>
    <row r="160">
      <c r="A160" s="11" t="str">
        <f>IFERROR(__xludf.DUMMYFUNCTION("""COMPUTED_VALUE"""),"D")</f>
        <v>D</v>
      </c>
      <c r="B160" s="11" t="str">
        <f>IFERROR(__xludf.DUMMYFUNCTION("""COMPUTED_VALUE"""),"Slot - B")</f>
        <v>Slot - B</v>
      </c>
      <c r="C160" s="11" t="str">
        <f>IFERROR(__xludf.DUMMYFUNCTION("""COMPUTED_VALUE"""),"17.04.2026")</f>
        <v>17.04.2026</v>
      </c>
      <c r="D160" s="12">
        <f>IFERROR(__xludf.DUMMYFUNCTION("""COMPUTED_VALUE"""),0.4791666666678793)</f>
        <v>0.4791666667</v>
      </c>
      <c r="E160" s="12">
        <f>IFERROR(__xludf.DUMMYFUNCTION("""COMPUTED_VALUE"""),0.5416666666678793)</f>
        <v>0.5416666667</v>
      </c>
      <c r="F160" s="11" t="str">
        <f>IFERROR(__xludf.DUMMYFUNCTION("""COMPUTED_VALUE"""),"EEE241.10")</f>
        <v>EEE241.10</v>
      </c>
      <c r="G160" s="11" t="str">
        <f>IFERROR(__xludf.DUMMYFUNCTION("""COMPUTED_VALUE"""),"Electronic Devices &amp; Circuits I")</f>
        <v>Electronic Devices &amp; Circuits I</v>
      </c>
      <c r="H160" s="13">
        <f>IFERROR(__xludf.DUMMYFUNCTION("""COMPUTED_VALUE"""),34.0)</f>
        <v>34</v>
      </c>
      <c r="I160" s="11" t="str">
        <f>IFERROR(__xludf.DUMMYFUNCTION("""COMPUTED_VALUE"""),"[IHS] Imran Hossain Sabuj")</f>
        <v>[IHS] Imran Hossain Sabuj</v>
      </c>
      <c r="J160" s="13">
        <f t="shared" si="1"/>
        <v>-1</v>
      </c>
    </row>
    <row r="161">
      <c r="A161" s="11" t="str">
        <f>IFERROR(__xludf.DUMMYFUNCTION("""COMPUTED_VALUE"""),"C")</f>
        <v>C</v>
      </c>
      <c r="B161" s="11" t="str">
        <f>IFERROR(__xludf.DUMMYFUNCTION("""COMPUTED_VALUE"""),"Slot - 18")</f>
        <v>Slot - 18</v>
      </c>
      <c r="C161" s="11" t="str">
        <f>IFERROR(__xludf.DUMMYFUNCTION("""COMPUTED_VALUE"""),"19.04.2026")</f>
        <v>19.04.2026</v>
      </c>
      <c r="D161" s="12">
        <f>IFERROR(__xludf.DUMMYFUNCTION("""COMPUTED_VALUE"""),0.6041666666678793)</f>
        <v>0.6041666667</v>
      </c>
      <c r="E161" s="12">
        <f>IFERROR(__xludf.DUMMYFUNCTION("""COMPUTED_VALUE"""),0.6666666666678793)</f>
        <v>0.6666666667</v>
      </c>
      <c r="F161" s="11" t="str">
        <f>IFERROR(__xludf.DUMMYFUNCTION("""COMPUTED_VALUE"""),"PHY181.1")</f>
        <v>PHY181.1</v>
      </c>
      <c r="G161" s="11" t="str">
        <f>IFERROR(__xludf.DUMMYFUNCTION("""COMPUTED_VALUE"""),"Physics II")</f>
        <v>Physics II</v>
      </c>
      <c r="H161" s="13">
        <f>IFERROR(__xludf.DUMMYFUNCTION("""COMPUTED_VALUE"""),40.0)</f>
        <v>40</v>
      </c>
      <c r="I161" s="11" t="str">
        <f>IFERROR(__xludf.DUMMYFUNCTION("""COMPUTED_VALUE"""),"[IJ] Ishrat Jahan")</f>
        <v>[IJ] Ishrat Jahan</v>
      </c>
      <c r="J161" s="13">
        <f t="shared" si="1"/>
        <v>1</v>
      </c>
    </row>
    <row r="162">
      <c r="A162" s="11" t="str">
        <f>IFERROR(__xludf.DUMMYFUNCTION("""COMPUTED_VALUE"""),"C")</f>
        <v>C</v>
      </c>
      <c r="B162" s="11" t="str">
        <f>IFERROR(__xludf.DUMMYFUNCTION("""COMPUTED_VALUE"""),"Slot - 18")</f>
        <v>Slot - 18</v>
      </c>
      <c r="C162" s="11" t="str">
        <f>IFERROR(__xludf.DUMMYFUNCTION("""COMPUTED_VALUE"""),"19.04.2026")</f>
        <v>19.04.2026</v>
      </c>
      <c r="D162" s="12">
        <f>IFERROR(__xludf.DUMMYFUNCTION("""COMPUTED_VALUE"""),0.6041666666678793)</f>
        <v>0.6041666667</v>
      </c>
      <c r="E162" s="12">
        <f>IFERROR(__xludf.DUMMYFUNCTION("""COMPUTED_VALUE"""),0.6666666666678793)</f>
        <v>0.6666666667</v>
      </c>
      <c r="F162" s="11" t="str">
        <f>IFERROR(__xludf.DUMMYFUNCTION("""COMPUTED_VALUE"""),"PHY181.2")</f>
        <v>PHY181.2</v>
      </c>
      <c r="G162" s="11" t="str">
        <f>IFERROR(__xludf.DUMMYFUNCTION("""COMPUTED_VALUE"""),"Physics II")</f>
        <v>Physics II</v>
      </c>
      <c r="H162" s="13">
        <f>IFERROR(__xludf.DUMMYFUNCTION("""COMPUTED_VALUE"""),40.0)</f>
        <v>40</v>
      </c>
      <c r="I162" s="11" t="str">
        <f>IFERROR(__xludf.DUMMYFUNCTION("""COMPUTED_VALUE"""),"[IJ] Ishrat Jahan")</f>
        <v>[IJ] Ishrat Jahan</v>
      </c>
      <c r="J162" s="13">
        <f t="shared" si="1"/>
        <v>1</v>
      </c>
    </row>
    <row r="163">
      <c r="A163" s="11" t="str">
        <f>IFERROR(__xludf.DUMMYFUNCTION("""COMPUTED_VALUE"""),"C")</f>
        <v>C</v>
      </c>
      <c r="B163" s="11" t="str">
        <f>IFERROR(__xludf.DUMMYFUNCTION("""COMPUTED_VALUE"""),"Slot - 18")</f>
        <v>Slot - 18</v>
      </c>
      <c r="C163" s="11" t="str">
        <f>IFERROR(__xludf.DUMMYFUNCTION("""COMPUTED_VALUE"""),"19.04.2026")</f>
        <v>19.04.2026</v>
      </c>
      <c r="D163" s="12">
        <f>IFERROR(__xludf.DUMMYFUNCTION("""COMPUTED_VALUE"""),0.6041666666678793)</f>
        <v>0.6041666667</v>
      </c>
      <c r="E163" s="12">
        <f>IFERROR(__xludf.DUMMYFUNCTION("""COMPUTED_VALUE"""),0.6666666666678793)</f>
        <v>0.6666666667</v>
      </c>
      <c r="F163" s="11" t="str">
        <f>IFERROR(__xludf.DUMMYFUNCTION("""COMPUTED_VALUE"""),"PHY181.12")</f>
        <v>PHY181.12</v>
      </c>
      <c r="G163" s="11" t="str">
        <f>IFERROR(__xludf.DUMMYFUNCTION("""COMPUTED_VALUE"""),"Physics II")</f>
        <v>Physics II</v>
      </c>
      <c r="H163" s="13">
        <f>IFERROR(__xludf.DUMMYFUNCTION("""COMPUTED_VALUE"""),40.0)</f>
        <v>40</v>
      </c>
      <c r="I163" s="11" t="str">
        <f>IFERROR(__xludf.DUMMYFUNCTION("""COMPUTED_VALUE"""),"[IJ] Ishrat Jahan")</f>
        <v>[IJ] Ishrat Jahan</v>
      </c>
      <c r="J163" s="13">
        <f t="shared" si="1"/>
        <v>1</v>
      </c>
    </row>
    <row r="164">
      <c r="A164" s="11" t="str">
        <f>IFERROR(__xludf.DUMMYFUNCTION("""COMPUTED_VALUE"""),"D")</f>
        <v>D</v>
      </c>
      <c r="B164" s="11" t="str">
        <f>IFERROR(__xludf.DUMMYFUNCTION("""COMPUTED_VALUE"""),"Slot - K")</f>
        <v>Slot - K</v>
      </c>
      <c r="C164" s="11" t="str">
        <f>IFERROR(__xludf.DUMMYFUNCTION("""COMPUTED_VALUE"""),"25.04.2026")</f>
        <v>25.04.2026</v>
      </c>
      <c r="D164" s="12">
        <f>IFERROR(__xludf.DUMMYFUNCTION("""COMPUTED_VALUE"""),0.3541666666678793)</f>
        <v>0.3541666667</v>
      </c>
      <c r="E164" s="12">
        <f>IFERROR(__xludf.DUMMYFUNCTION("""COMPUTED_VALUE"""),0.4166666666678793)</f>
        <v>0.4166666667</v>
      </c>
      <c r="F164" s="11" t="str">
        <f>IFERROR(__xludf.DUMMYFUNCTION("""COMPUTED_VALUE"""),"PHY181.13")</f>
        <v>PHY181.13</v>
      </c>
      <c r="G164" s="11" t="str">
        <f>IFERROR(__xludf.DUMMYFUNCTION("""COMPUTED_VALUE"""),"Physics II")</f>
        <v>Physics II</v>
      </c>
      <c r="H164" s="13">
        <f>IFERROR(__xludf.DUMMYFUNCTION("""COMPUTED_VALUE"""),40.0)</f>
        <v>40</v>
      </c>
      <c r="I164" s="11" t="str">
        <f>IFERROR(__xludf.DUMMYFUNCTION("""COMPUTED_VALUE"""),"[IJ] Ishrat Jahan")</f>
        <v>[IJ] Ishrat Jahan</v>
      </c>
      <c r="J164" s="13">
        <f t="shared" si="1"/>
        <v>1</v>
      </c>
    </row>
    <row r="165">
      <c r="A165" s="11" t="str">
        <f>IFERROR(__xludf.DUMMYFUNCTION("""COMPUTED_VALUE"""),"C")</f>
        <v>C</v>
      </c>
      <c r="B165" s="11" t="str">
        <f>IFERROR(__xludf.DUMMYFUNCTION("""COMPUTED_VALUE"""),"Slot - 12")</f>
        <v>Slot - 12</v>
      </c>
      <c r="C165" s="11" t="str">
        <f>IFERROR(__xludf.DUMMYFUNCTION("""COMPUTED_VALUE"""),"16.04.2026")</f>
        <v>16.04.2026</v>
      </c>
      <c r="D165" s="12">
        <f>IFERROR(__xludf.DUMMYFUNCTION("""COMPUTED_VALUE"""),0.6041666666678793)</f>
        <v>0.6041666667</v>
      </c>
      <c r="E165" s="12">
        <f>IFERROR(__xludf.DUMMYFUNCTION("""COMPUTED_VALUE"""),0.6666666666678793)</f>
        <v>0.6666666667</v>
      </c>
      <c r="F165" s="11" t="str">
        <f>IFERROR(__xludf.DUMMYFUNCTION("""COMPUTED_VALUE"""),"GED1111.9")</f>
        <v>GED1111.9</v>
      </c>
      <c r="G165" s="11" t="str">
        <f>IFERROR(__xludf.DUMMYFUNCTION("""COMPUTED_VALUE"""),"Principles of Accounting")</f>
        <v>Principles of Accounting</v>
      </c>
      <c r="H165" s="13">
        <f>IFERROR(__xludf.DUMMYFUNCTION("""COMPUTED_VALUE"""),31.0)</f>
        <v>31</v>
      </c>
      <c r="I165" s="11" t="str">
        <f>IFERROR(__xludf.DUMMYFUNCTION("""COMPUTED_VALUE"""),"[IJM] Iffath Jahan Moumita")</f>
        <v>[IJM] Iffath Jahan Moumita</v>
      </c>
      <c r="J165" s="13">
        <f t="shared" si="1"/>
        <v>-1</v>
      </c>
    </row>
    <row r="166">
      <c r="A166" s="11" t="str">
        <f>IFERROR(__xludf.DUMMYFUNCTION("""COMPUTED_VALUE"""),"C")</f>
        <v>C</v>
      </c>
      <c r="B166" s="11" t="str">
        <f>IFERROR(__xludf.DUMMYFUNCTION("""COMPUTED_VALUE"""),"Slot - 12")</f>
        <v>Slot - 12</v>
      </c>
      <c r="C166" s="11" t="str">
        <f>IFERROR(__xludf.DUMMYFUNCTION("""COMPUTED_VALUE"""),"16.04.2026")</f>
        <v>16.04.2026</v>
      </c>
      <c r="D166" s="12">
        <f>IFERROR(__xludf.DUMMYFUNCTION("""COMPUTED_VALUE"""),0.6041666666678793)</f>
        <v>0.6041666667</v>
      </c>
      <c r="E166" s="12">
        <f>IFERROR(__xludf.DUMMYFUNCTION("""COMPUTED_VALUE"""),0.6666666666678793)</f>
        <v>0.6666666667</v>
      </c>
      <c r="F166" s="11" t="str">
        <f>IFERROR(__xludf.DUMMYFUNCTION("""COMPUTED_VALUE"""),"GED1111.10")</f>
        <v>GED1111.10</v>
      </c>
      <c r="G166" s="11" t="str">
        <f>IFERROR(__xludf.DUMMYFUNCTION("""COMPUTED_VALUE"""),"Principles of Accounting")</f>
        <v>Principles of Accounting</v>
      </c>
      <c r="H166" s="13">
        <f>IFERROR(__xludf.DUMMYFUNCTION("""COMPUTED_VALUE"""),30.0)</f>
        <v>30</v>
      </c>
      <c r="I166" s="11" t="str">
        <f>IFERROR(__xludf.DUMMYFUNCTION("""COMPUTED_VALUE"""),"[IJM] Iffath Jahan Moumita")</f>
        <v>[IJM] Iffath Jahan Moumita</v>
      </c>
      <c r="J166" s="13">
        <f t="shared" si="1"/>
        <v>-1</v>
      </c>
    </row>
    <row r="167">
      <c r="A167" s="11" t="str">
        <f>IFERROR(__xludf.DUMMYFUNCTION("""COMPUTED_VALUE"""),"D")</f>
        <v>D</v>
      </c>
      <c r="B167" s="11" t="str">
        <f>IFERROR(__xludf.DUMMYFUNCTION("""COMPUTED_VALUE"""),"Slot - C")</f>
        <v>Slot - C</v>
      </c>
      <c r="C167" s="11" t="str">
        <f>IFERROR(__xludf.DUMMYFUNCTION("""COMPUTED_VALUE"""),"17.04.2026")</f>
        <v>17.04.2026</v>
      </c>
      <c r="D167" s="12">
        <f>IFERROR(__xludf.DUMMYFUNCTION("""COMPUTED_VALUE"""),0.6041666666678793)</f>
        <v>0.6041666667</v>
      </c>
      <c r="E167" s="12">
        <f>IFERROR(__xludf.DUMMYFUNCTION("""COMPUTED_VALUE"""),0.6666666666678793)</f>
        <v>0.6666666667</v>
      </c>
      <c r="F167" s="11" t="str">
        <f>IFERROR(__xludf.DUMMYFUNCTION("""COMPUTED_VALUE"""),"CSE351.2")</f>
        <v>CSE351.2</v>
      </c>
      <c r="G167" s="11" t="str">
        <f>IFERROR(__xludf.DUMMYFUNCTION("""COMPUTED_VALUE"""),"Advanced Java")</f>
        <v>Advanced Java</v>
      </c>
      <c r="H167" s="13">
        <f>IFERROR(__xludf.DUMMYFUNCTION("""COMPUTED_VALUE"""),23.0)</f>
        <v>23</v>
      </c>
      <c r="I167" s="11" t="str">
        <f>IFERROR(__xludf.DUMMYFUNCTION("""COMPUTED_VALUE"""),"[IMUD] Iftekher Mahmud")</f>
        <v>[IMUD] Iftekher Mahmud</v>
      </c>
      <c r="J167" s="13">
        <f t="shared" si="1"/>
        <v>1</v>
      </c>
    </row>
    <row r="168">
      <c r="A168" s="11" t="str">
        <f>IFERROR(__xludf.DUMMYFUNCTION("""COMPUTED_VALUE"""),"D")</f>
        <v>D</v>
      </c>
      <c r="B168" s="11" t="str">
        <f>IFERROR(__xludf.DUMMYFUNCTION("""COMPUTED_VALUE"""),"Slot - C")</f>
        <v>Slot - C</v>
      </c>
      <c r="C168" s="11" t="str">
        <f>IFERROR(__xludf.DUMMYFUNCTION("""COMPUTED_VALUE"""),"17.04.2026")</f>
        <v>17.04.2026</v>
      </c>
      <c r="D168" s="12">
        <f>IFERROR(__xludf.DUMMYFUNCTION("""COMPUTED_VALUE"""),0.6041666666678793)</f>
        <v>0.6041666667</v>
      </c>
      <c r="E168" s="12">
        <f>IFERROR(__xludf.DUMMYFUNCTION("""COMPUTED_VALUE"""),0.6666666666678793)</f>
        <v>0.6666666667</v>
      </c>
      <c r="F168" s="11" t="str">
        <f>IFERROR(__xludf.DUMMYFUNCTION("""COMPUTED_VALUE"""),"CSE4047.1")</f>
        <v>CSE4047.1</v>
      </c>
      <c r="G168" s="11" t="str">
        <f>IFERROR(__xludf.DUMMYFUNCTION("""COMPUTED_VALUE"""),"Advanced Java")</f>
        <v>Advanced Java</v>
      </c>
      <c r="H168" s="13">
        <f>IFERROR(__xludf.DUMMYFUNCTION("""COMPUTED_VALUE"""),1.0)</f>
        <v>1</v>
      </c>
      <c r="I168" s="11" t="str">
        <f>IFERROR(__xludf.DUMMYFUNCTION("""COMPUTED_VALUE"""),"[IMUD] Iftekher Mahmud")</f>
        <v>[IMUD] Iftekher Mahmud</v>
      </c>
      <c r="J168" s="13">
        <f t="shared" si="1"/>
        <v>1</v>
      </c>
    </row>
    <row r="169">
      <c r="A169" s="11" t="str">
        <f>IFERROR(__xludf.DUMMYFUNCTION("""COMPUTED_VALUE"""),"D")</f>
        <v>D</v>
      </c>
      <c r="B169" s="11" t="str">
        <f>IFERROR(__xludf.DUMMYFUNCTION("""COMPUTED_VALUE"""),"Slot - H")</f>
        <v>Slot - H</v>
      </c>
      <c r="C169" s="11" t="str">
        <f>IFERROR(__xludf.DUMMYFUNCTION("""COMPUTED_VALUE"""),"24.04.2026")</f>
        <v>24.04.2026</v>
      </c>
      <c r="D169" s="12">
        <f>IFERROR(__xludf.DUMMYFUNCTION("""COMPUTED_VALUE"""),0.4791666666678793)</f>
        <v>0.4791666667</v>
      </c>
      <c r="E169" s="12">
        <f>IFERROR(__xludf.DUMMYFUNCTION("""COMPUTED_VALUE"""),0.5416666666678793)</f>
        <v>0.5416666667</v>
      </c>
      <c r="F169" s="11" t="str">
        <f>IFERROR(__xludf.DUMMYFUNCTION("""COMPUTED_VALUE"""),"CSE351.1")</f>
        <v>CSE351.1</v>
      </c>
      <c r="G169" s="11" t="str">
        <f>IFERROR(__xludf.DUMMYFUNCTION("""COMPUTED_VALUE"""),"Advanced Java")</f>
        <v>Advanced Java</v>
      </c>
      <c r="H169" s="13">
        <f>IFERROR(__xludf.DUMMYFUNCTION("""COMPUTED_VALUE"""),30.0)</f>
        <v>30</v>
      </c>
      <c r="I169" s="11" t="str">
        <f>IFERROR(__xludf.DUMMYFUNCTION("""COMPUTED_VALUE"""),"[IMUD] Iftekher Mahmud")</f>
        <v>[IMUD] Iftekher Mahmud</v>
      </c>
      <c r="J169" s="13">
        <f t="shared" si="1"/>
        <v>1</v>
      </c>
    </row>
    <row r="170">
      <c r="A170" s="11" t="str">
        <f>IFERROR(__xludf.DUMMYFUNCTION("""COMPUTED_VALUE"""),"C")</f>
        <v>C</v>
      </c>
      <c r="B170" s="11" t="str">
        <f>IFERROR(__xludf.DUMMYFUNCTION("""COMPUTED_VALUE"""),"Slot - 21")</f>
        <v>Slot - 21</v>
      </c>
      <c r="C170" s="11" t="str">
        <f>IFERROR(__xludf.DUMMYFUNCTION("""COMPUTED_VALUE"""),"20.04.2026")</f>
        <v>20.04.2026</v>
      </c>
      <c r="D170" s="12">
        <f>IFERROR(__xludf.DUMMYFUNCTION("""COMPUTED_VALUE"""),0.6041666666678793)</f>
        <v>0.6041666667</v>
      </c>
      <c r="E170" s="12">
        <f>IFERROR(__xludf.DUMMYFUNCTION("""COMPUTED_VALUE"""),0.6666666666678793)</f>
        <v>0.6666666667</v>
      </c>
      <c r="F170" s="11" t="str">
        <f>IFERROR(__xludf.DUMMYFUNCTION("""COMPUTED_VALUE"""),"CSE161.5")</f>
        <v>CSE161.5</v>
      </c>
      <c r="G170" s="11" t="str">
        <f>IFERROR(__xludf.DUMMYFUNCTION("""COMPUTED_VALUE"""),"Programming Language I")</f>
        <v>Programming Language I</v>
      </c>
      <c r="H170" s="13">
        <f>IFERROR(__xludf.DUMMYFUNCTION("""COMPUTED_VALUE"""),43.0)</f>
        <v>43</v>
      </c>
      <c r="I170" s="11" t="str">
        <f>IFERROR(__xludf.DUMMYFUNCTION("""COMPUTED_VALUE"""),"[IN] S I M Adnan")</f>
        <v>[IN] S I M Adnan</v>
      </c>
      <c r="J170" s="13">
        <f t="shared" si="1"/>
        <v>-1</v>
      </c>
    </row>
    <row r="171">
      <c r="A171" s="11" t="str">
        <f>IFERROR(__xludf.DUMMYFUNCTION("""COMPUTED_VALUE"""),"C")</f>
        <v>C</v>
      </c>
      <c r="B171" s="11" t="str">
        <f>IFERROR(__xludf.DUMMYFUNCTION("""COMPUTED_VALUE"""),"Slot - 21")</f>
        <v>Slot - 21</v>
      </c>
      <c r="C171" s="11" t="str">
        <f>IFERROR(__xludf.DUMMYFUNCTION("""COMPUTED_VALUE"""),"20.04.2026")</f>
        <v>20.04.2026</v>
      </c>
      <c r="D171" s="12">
        <f>IFERROR(__xludf.DUMMYFUNCTION("""COMPUTED_VALUE"""),0.6041666666678793)</f>
        <v>0.6041666667</v>
      </c>
      <c r="E171" s="12">
        <f>IFERROR(__xludf.DUMMYFUNCTION("""COMPUTED_VALUE"""),0.6666666666678793)</f>
        <v>0.6666666667</v>
      </c>
      <c r="F171" s="11" t="str">
        <f>IFERROR(__xludf.DUMMYFUNCTION("""COMPUTED_VALUE"""),"CSE161.6")</f>
        <v>CSE161.6</v>
      </c>
      <c r="G171" s="11" t="str">
        <f>IFERROR(__xludf.DUMMYFUNCTION("""COMPUTED_VALUE"""),"Programming Language I")</f>
        <v>Programming Language I</v>
      </c>
      <c r="H171" s="13">
        <f>IFERROR(__xludf.DUMMYFUNCTION("""COMPUTED_VALUE"""),43.0)</f>
        <v>43</v>
      </c>
      <c r="I171" s="11" t="str">
        <f>IFERROR(__xludf.DUMMYFUNCTION("""COMPUTED_VALUE"""),"[IN] S I M Adnan")</f>
        <v>[IN] S I M Adnan</v>
      </c>
      <c r="J171" s="13">
        <f t="shared" si="1"/>
        <v>-1</v>
      </c>
    </row>
    <row r="172">
      <c r="A172" s="11" t="str">
        <f>IFERROR(__xludf.DUMMYFUNCTION("""COMPUTED_VALUE"""),"C")</f>
        <v>C</v>
      </c>
      <c r="B172" s="11" t="str">
        <f>IFERROR(__xludf.DUMMYFUNCTION("""COMPUTED_VALUE"""),"Slot - 11")</f>
        <v>Slot - 11</v>
      </c>
      <c r="C172" s="11" t="str">
        <f>IFERROR(__xludf.DUMMYFUNCTION("""COMPUTED_VALUE"""),"16.04.2026")</f>
        <v>16.04.2026</v>
      </c>
      <c r="D172" s="12">
        <f>IFERROR(__xludf.DUMMYFUNCTION("""COMPUTED_VALUE"""),0.4791666666678793)</f>
        <v>0.4791666667</v>
      </c>
      <c r="E172" s="12">
        <f>IFERROR(__xludf.DUMMYFUNCTION("""COMPUTED_VALUE"""),0.5416666666678793)</f>
        <v>0.5416666667</v>
      </c>
      <c r="F172" s="11" t="str">
        <f>IFERROR(__xludf.DUMMYFUNCTION("""COMPUTED_VALUE"""),"CSE355.3")</f>
        <v>CSE355.3</v>
      </c>
      <c r="G172" s="11" t="str">
        <f>IFERROR(__xludf.DUMMYFUNCTION("""COMPUTED_VALUE"""),"Image Processing")</f>
        <v>Image Processing</v>
      </c>
      <c r="H172" s="13">
        <f>IFERROR(__xludf.DUMMYFUNCTION("""COMPUTED_VALUE"""),40.0)</f>
        <v>40</v>
      </c>
      <c r="I172" s="11" t="str">
        <f>IFERROR(__xludf.DUMMYFUNCTION("""COMPUTED_VALUE"""),"[JAR] Mst. Jesiara Khatun")</f>
        <v>[JAR] Mst. Jesiara Khatun</v>
      </c>
      <c r="J172" s="13">
        <f t="shared" si="1"/>
        <v>1</v>
      </c>
    </row>
    <row r="173">
      <c r="A173" s="11" t="str">
        <f>IFERROR(__xludf.DUMMYFUNCTION("""COMPUTED_VALUE"""),"D")</f>
        <v>D</v>
      </c>
      <c r="B173" s="11" t="str">
        <f>IFERROR(__xludf.DUMMYFUNCTION("""COMPUTED_VALUE"""),"Slot - A")</f>
        <v>Slot - A</v>
      </c>
      <c r="C173" s="11" t="str">
        <f>IFERROR(__xludf.DUMMYFUNCTION("""COMPUTED_VALUE"""),"17.04.2026")</f>
        <v>17.04.2026</v>
      </c>
      <c r="D173" s="12">
        <f>IFERROR(__xludf.DUMMYFUNCTION("""COMPUTED_VALUE"""),0.375)</f>
        <v>0.375</v>
      </c>
      <c r="E173" s="12">
        <f>IFERROR(__xludf.DUMMYFUNCTION("""COMPUTED_VALUE"""),0.4375)</f>
        <v>0.4375</v>
      </c>
      <c r="F173" s="11" t="str">
        <f>IFERROR(__xludf.DUMMYFUNCTION("""COMPUTED_VALUE"""),"CSE355.4")</f>
        <v>CSE355.4</v>
      </c>
      <c r="G173" s="11" t="str">
        <f>IFERROR(__xludf.DUMMYFUNCTION("""COMPUTED_VALUE"""),"Image Processing")</f>
        <v>Image Processing</v>
      </c>
      <c r="H173" s="13">
        <f>IFERROR(__xludf.DUMMYFUNCTION("""COMPUTED_VALUE"""),42.0)</f>
        <v>42</v>
      </c>
      <c r="I173" s="11" t="str">
        <f>IFERROR(__xludf.DUMMYFUNCTION("""COMPUTED_VALUE"""),"[JAR] Mst. Jesiara Khatun")</f>
        <v>[JAR] Mst. Jesiara Khatun</v>
      </c>
      <c r="J173" s="13">
        <f t="shared" si="1"/>
        <v>1</v>
      </c>
    </row>
    <row r="174">
      <c r="A174" s="11" t="str">
        <f>IFERROR(__xludf.DUMMYFUNCTION("""COMPUTED_VALUE"""),"C")</f>
        <v>C</v>
      </c>
      <c r="B174" s="11" t="str">
        <f>IFERROR(__xludf.DUMMYFUNCTION("""COMPUTED_VALUE"""),"Slot - 20")</f>
        <v>Slot - 20</v>
      </c>
      <c r="C174" s="11" t="str">
        <f>IFERROR(__xludf.DUMMYFUNCTION("""COMPUTED_VALUE"""),"20.04.2026")</f>
        <v>20.04.2026</v>
      </c>
      <c r="D174" s="12">
        <f>IFERROR(__xludf.DUMMYFUNCTION("""COMPUTED_VALUE"""),0.4791666666678793)</f>
        <v>0.4791666667</v>
      </c>
      <c r="E174" s="12">
        <f>IFERROR(__xludf.DUMMYFUNCTION("""COMPUTED_VALUE"""),0.5416666666678793)</f>
        <v>0.5416666667</v>
      </c>
      <c r="F174" s="11" t="str">
        <f>IFERROR(__xludf.DUMMYFUNCTION("""COMPUTED_VALUE"""),"CSE341.6")</f>
        <v>CSE341.6</v>
      </c>
      <c r="G174" s="11" t="str">
        <f>IFERROR(__xludf.DUMMYFUNCTION("""COMPUTED_VALUE"""),"Computer Networking")</f>
        <v>Computer Networking</v>
      </c>
      <c r="H174" s="13">
        <f>IFERROR(__xludf.DUMMYFUNCTION("""COMPUTED_VALUE"""),35.0)</f>
        <v>35</v>
      </c>
      <c r="I174" s="11" t="str">
        <f>IFERROR(__xludf.DUMMYFUNCTION("""COMPUTED_VALUE"""),"[JAR] Mst. Jesiara Khatun")</f>
        <v>[JAR] Mst. Jesiara Khatun</v>
      </c>
      <c r="J174" s="13">
        <f t="shared" si="1"/>
        <v>1</v>
      </c>
    </row>
    <row r="175">
      <c r="A175" s="11" t="str">
        <f>IFERROR(__xludf.DUMMYFUNCTION("""COMPUTED_VALUE"""),"D")</f>
        <v>D</v>
      </c>
      <c r="B175" s="11" t="str">
        <f>IFERROR(__xludf.DUMMYFUNCTION("""COMPUTED_VALUE"""),"Slot - M")</f>
        <v>Slot - M</v>
      </c>
      <c r="C175" s="11" t="str">
        <f>IFERROR(__xludf.DUMMYFUNCTION("""COMPUTED_VALUE"""),"25.04.2026")</f>
        <v>25.04.2026</v>
      </c>
      <c r="D175" s="12">
        <f>IFERROR(__xludf.DUMMYFUNCTION("""COMPUTED_VALUE"""),0.5625)</f>
        <v>0.5625</v>
      </c>
      <c r="E175" s="12">
        <f>IFERROR(__xludf.DUMMYFUNCTION("""COMPUTED_VALUE"""),0.625)</f>
        <v>0.625</v>
      </c>
      <c r="F175" s="11" t="str">
        <f>IFERROR(__xludf.DUMMYFUNCTION("""COMPUTED_VALUE"""),"CSE355.5")</f>
        <v>CSE355.5</v>
      </c>
      <c r="G175" s="11" t="str">
        <f>IFERROR(__xludf.DUMMYFUNCTION("""COMPUTED_VALUE"""),"Image Processing")</f>
        <v>Image Processing</v>
      </c>
      <c r="H175" s="13">
        <f>IFERROR(__xludf.DUMMYFUNCTION("""COMPUTED_VALUE"""),42.0)</f>
        <v>42</v>
      </c>
      <c r="I175" s="11" t="str">
        <f>IFERROR(__xludf.DUMMYFUNCTION("""COMPUTED_VALUE"""),"[JAR] Mst. Jesiara Khatun")</f>
        <v>[JAR] Mst. Jesiara Khatun</v>
      </c>
      <c r="J175" s="13">
        <f t="shared" si="1"/>
        <v>1</v>
      </c>
    </row>
    <row r="176">
      <c r="A176" s="11" t="str">
        <f>IFERROR(__xludf.DUMMYFUNCTION("""COMPUTED_VALUE"""),"C")</f>
        <v>C</v>
      </c>
      <c r="B176" s="11" t="str">
        <f>IFERROR(__xludf.DUMMYFUNCTION("""COMPUTED_VALUE"""),"Slot - 04")</f>
        <v>Slot - 04</v>
      </c>
      <c r="C176" s="11" t="str">
        <f>IFERROR(__xludf.DUMMYFUNCTION("""COMPUTED_VALUE"""),"13.04.2026")</f>
        <v>13.04.2026</v>
      </c>
      <c r="D176" s="12">
        <f>IFERROR(__xludf.DUMMYFUNCTION("""COMPUTED_VALUE"""),0.3541666666678793)</f>
        <v>0.3541666667</v>
      </c>
      <c r="E176" s="12">
        <f>IFERROR(__xludf.DUMMYFUNCTION("""COMPUTED_VALUE"""),0.4166666666678793)</f>
        <v>0.4166666667</v>
      </c>
      <c r="F176" s="11" t="str">
        <f>IFERROR(__xludf.DUMMYFUNCTION("""COMPUTED_VALUE"""),"ELL1303.5")</f>
        <v>ELL1303.5</v>
      </c>
      <c r="G176" s="11" t="str">
        <f>IFERROR(__xludf.DUMMYFUNCTION("""COMPUTED_VALUE"""),"Advanced English Skills")</f>
        <v>Advanced English Skills</v>
      </c>
      <c r="H176" s="13">
        <f>IFERROR(__xludf.DUMMYFUNCTION("""COMPUTED_VALUE"""),31.0)</f>
        <v>31</v>
      </c>
      <c r="I176" s="11" t="str">
        <f>IFERROR(__xludf.DUMMYFUNCTION("""COMPUTED_VALUE"""),"[JFA] Jannatul Ferdous Anan")</f>
        <v>[JFA] Jannatul Ferdous Anan</v>
      </c>
      <c r="J176" s="13">
        <f t="shared" si="1"/>
        <v>-1</v>
      </c>
    </row>
    <row r="177">
      <c r="A177" s="11" t="str">
        <f>IFERROR(__xludf.DUMMYFUNCTION("""COMPUTED_VALUE"""),"C")</f>
        <v>C</v>
      </c>
      <c r="B177" s="11" t="str">
        <f>IFERROR(__xludf.DUMMYFUNCTION("""COMPUTED_VALUE"""),"Slot - 05")</f>
        <v>Slot - 05</v>
      </c>
      <c r="C177" s="11" t="str">
        <f>IFERROR(__xludf.DUMMYFUNCTION("""COMPUTED_VALUE"""),"13.04.2026")</f>
        <v>13.04.2026</v>
      </c>
      <c r="D177" s="12">
        <f>IFERROR(__xludf.DUMMYFUNCTION("""COMPUTED_VALUE"""),0.4791666666678793)</f>
        <v>0.4791666667</v>
      </c>
      <c r="E177" s="12">
        <f>IFERROR(__xludf.DUMMYFUNCTION("""COMPUTED_VALUE"""),0.5416666666678793)</f>
        <v>0.5416666667</v>
      </c>
      <c r="F177" s="11" t="str">
        <f>IFERROR(__xludf.DUMMYFUNCTION("""COMPUTED_VALUE"""),"ENG102.28")</f>
        <v>ENG102.28</v>
      </c>
      <c r="G177" s="11" t="str">
        <f>IFERROR(__xludf.DUMMYFUNCTION("""COMPUTED_VALUE"""),"Intermediate English Skills")</f>
        <v>Intermediate English Skills</v>
      </c>
      <c r="H177" s="13">
        <f>IFERROR(__xludf.DUMMYFUNCTION("""COMPUTED_VALUE"""),40.0)</f>
        <v>40</v>
      </c>
      <c r="I177" s="11" t="str">
        <f>IFERROR(__xludf.DUMMYFUNCTION("""COMPUTED_VALUE"""),"[JFA] Jannatul Ferdous Anan")</f>
        <v>[JFA] Jannatul Ferdous Anan</v>
      </c>
      <c r="J177" s="13">
        <f t="shared" si="1"/>
        <v>-1</v>
      </c>
    </row>
    <row r="178">
      <c r="A178" s="11" t="str">
        <f>IFERROR(__xludf.DUMMYFUNCTION("""COMPUTED_VALUE"""),"C")</f>
        <v>C</v>
      </c>
      <c r="B178" s="11" t="str">
        <f>IFERROR(__xludf.DUMMYFUNCTION("""COMPUTED_VALUE"""),"Slot - 05")</f>
        <v>Slot - 05</v>
      </c>
      <c r="C178" s="11" t="str">
        <f>IFERROR(__xludf.DUMMYFUNCTION("""COMPUTED_VALUE"""),"13.04.2026")</f>
        <v>13.04.2026</v>
      </c>
      <c r="D178" s="12">
        <f>IFERROR(__xludf.DUMMYFUNCTION("""COMPUTED_VALUE"""),0.4791666666678793)</f>
        <v>0.4791666667</v>
      </c>
      <c r="E178" s="12">
        <f>IFERROR(__xludf.DUMMYFUNCTION("""COMPUTED_VALUE"""),0.5416666666678793)</f>
        <v>0.5416666667</v>
      </c>
      <c r="F178" s="11" t="str">
        <f>IFERROR(__xludf.DUMMYFUNCTION("""COMPUTED_VALUE"""),"ENG102.29")</f>
        <v>ENG102.29</v>
      </c>
      <c r="G178" s="11" t="str">
        <f>IFERROR(__xludf.DUMMYFUNCTION("""COMPUTED_VALUE"""),"Intermediate English Skills")</f>
        <v>Intermediate English Skills</v>
      </c>
      <c r="H178" s="13">
        <f>IFERROR(__xludf.DUMMYFUNCTION("""COMPUTED_VALUE"""),40.0)</f>
        <v>40</v>
      </c>
      <c r="I178" s="11" t="str">
        <f>IFERROR(__xludf.DUMMYFUNCTION("""COMPUTED_VALUE"""),"[JFA] Jannatul Ferdous Anan")</f>
        <v>[JFA] Jannatul Ferdous Anan</v>
      </c>
      <c r="J178" s="13">
        <f t="shared" si="1"/>
        <v>-1</v>
      </c>
    </row>
    <row r="179">
      <c r="A179" s="11" t="str">
        <f>IFERROR(__xludf.DUMMYFUNCTION("""COMPUTED_VALUE"""),"C")</f>
        <v>C</v>
      </c>
      <c r="B179" s="11" t="str">
        <f>IFERROR(__xludf.DUMMYFUNCTION("""COMPUTED_VALUE"""),"Slot - 19")</f>
        <v>Slot - 19</v>
      </c>
      <c r="C179" s="11" t="str">
        <f>IFERROR(__xludf.DUMMYFUNCTION("""COMPUTED_VALUE"""),"20.04.2026")</f>
        <v>20.04.2026</v>
      </c>
      <c r="D179" s="12">
        <f>IFERROR(__xludf.DUMMYFUNCTION("""COMPUTED_VALUE"""),0.3541666666678793)</f>
        <v>0.3541666667</v>
      </c>
      <c r="E179" s="12">
        <f>IFERROR(__xludf.DUMMYFUNCTION("""COMPUTED_VALUE"""),0.4166666666678793)</f>
        <v>0.4166666667</v>
      </c>
      <c r="F179" s="11" t="str">
        <f>IFERROR(__xludf.DUMMYFUNCTION("""COMPUTED_VALUE"""),"CSE381.3")</f>
        <v>CSE381.3</v>
      </c>
      <c r="G179" s="11" t="str">
        <f>IFERROR(__xludf.DUMMYFUNCTION("""COMPUTED_VALUE"""),"Introduction to Embedded Systems")</f>
        <v>Introduction to Embedded Systems</v>
      </c>
      <c r="H179" s="13">
        <f>IFERROR(__xludf.DUMMYFUNCTION("""COMPUTED_VALUE"""),36.0)</f>
        <v>36</v>
      </c>
      <c r="I179" s="11" t="str">
        <f>IFERROR(__xludf.DUMMYFUNCTION("""COMPUTED_VALUE"""),"[JNJ] Md Julkar Naim Joy")</f>
        <v>[JNJ] Md Julkar Naim Joy</v>
      </c>
      <c r="J179" s="13">
        <f t="shared" si="1"/>
        <v>1</v>
      </c>
    </row>
    <row r="180">
      <c r="A180" s="11" t="str">
        <f>IFERROR(__xludf.DUMMYFUNCTION("""COMPUTED_VALUE"""),"C")</f>
        <v>C</v>
      </c>
      <c r="B180" s="11" t="str">
        <f>IFERROR(__xludf.DUMMYFUNCTION("""COMPUTED_VALUE"""),"Slot - 19")</f>
        <v>Slot - 19</v>
      </c>
      <c r="C180" s="11" t="str">
        <f>IFERROR(__xludf.DUMMYFUNCTION("""COMPUTED_VALUE"""),"20.04.2026")</f>
        <v>20.04.2026</v>
      </c>
      <c r="D180" s="12">
        <f>IFERROR(__xludf.DUMMYFUNCTION("""COMPUTED_VALUE"""),0.3541666666678793)</f>
        <v>0.3541666667</v>
      </c>
      <c r="E180" s="12">
        <f>IFERROR(__xludf.DUMMYFUNCTION("""COMPUTED_VALUE"""),0.4166666666678793)</f>
        <v>0.4166666667</v>
      </c>
      <c r="F180" s="11" t="str">
        <f>IFERROR(__xludf.DUMMYFUNCTION("""COMPUTED_VALUE"""),"CSE381.4")</f>
        <v>CSE381.4</v>
      </c>
      <c r="G180" s="11" t="str">
        <f>IFERROR(__xludf.DUMMYFUNCTION("""COMPUTED_VALUE"""),"Introduction to Embedded Systems")</f>
        <v>Introduction to Embedded Systems</v>
      </c>
      <c r="H180" s="13">
        <f>IFERROR(__xludf.DUMMYFUNCTION("""COMPUTED_VALUE"""),36.0)</f>
        <v>36</v>
      </c>
      <c r="I180" s="11" t="str">
        <f>IFERROR(__xludf.DUMMYFUNCTION("""COMPUTED_VALUE"""),"[JNJ] Md Julkar Naim Joy")</f>
        <v>[JNJ] Md Julkar Naim Joy</v>
      </c>
      <c r="J180" s="13">
        <f t="shared" si="1"/>
        <v>1</v>
      </c>
    </row>
    <row r="181">
      <c r="A181" s="11" t="str">
        <f>IFERROR(__xludf.DUMMYFUNCTION("""COMPUTED_VALUE"""),"C")</f>
        <v>C</v>
      </c>
      <c r="B181" s="11" t="str">
        <f>IFERROR(__xludf.DUMMYFUNCTION("""COMPUTED_VALUE"""),"Slot - 10")</f>
        <v>Slot - 10</v>
      </c>
      <c r="C181" s="11" t="str">
        <f>IFERROR(__xludf.DUMMYFUNCTION("""COMPUTED_VALUE"""),"16.04.2026")</f>
        <v>16.04.2026</v>
      </c>
      <c r="D181" s="12">
        <f>IFERROR(__xludf.DUMMYFUNCTION("""COMPUTED_VALUE"""),0.3541666666678793)</f>
        <v>0.3541666667</v>
      </c>
      <c r="E181" s="12">
        <f>IFERROR(__xludf.DUMMYFUNCTION("""COMPUTED_VALUE"""),0.4166666666678793)</f>
        <v>0.4166666667</v>
      </c>
      <c r="F181" s="11" t="str">
        <f>IFERROR(__xludf.DUMMYFUNCTION("""COMPUTED_VALUE"""),"GED1111.2")</f>
        <v>GED1111.2</v>
      </c>
      <c r="G181" s="11" t="str">
        <f>IFERROR(__xludf.DUMMYFUNCTION("""COMPUTED_VALUE"""),"Principles of Accounting")</f>
        <v>Principles of Accounting</v>
      </c>
      <c r="H181" s="13">
        <f>IFERROR(__xludf.DUMMYFUNCTION("""COMPUTED_VALUE"""),31.0)</f>
        <v>31</v>
      </c>
      <c r="I181" s="11" t="str">
        <f>IFERROR(__xludf.DUMMYFUNCTION("""COMPUTED_VALUE"""),"[JNS] Jannatul Naim Sweety")</f>
        <v>[JNS] Jannatul Naim Sweety</v>
      </c>
      <c r="J181" s="13">
        <f t="shared" si="1"/>
        <v>-1</v>
      </c>
    </row>
    <row r="182">
      <c r="A182" s="11" t="str">
        <f>IFERROR(__xludf.DUMMYFUNCTION("""COMPUTED_VALUE"""),"C")</f>
        <v>C</v>
      </c>
      <c r="B182" s="11" t="str">
        <f>IFERROR(__xludf.DUMMYFUNCTION("""COMPUTED_VALUE"""),"Slot - 10")</f>
        <v>Slot - 10</v>
      </c>
      <c r="C182" s="11" t="str">
        <f>IFERROR(__xludf.DUMMYFUNCTION("""COMPUTED_VALUE"""),"16.04.2026")</f>
        <v>16.04.2026</v>
      </c>
      <c r="D182" s="12">
        <f>IFERROR(__xludf.DUMMYFUNCTION("""COMPUTED_VALUE"""),0.3541666666678793)</f>
        <v>0.3541666667</v>
      </c>
      <c r="E182" s="12">
        <f>IFERROR(__xludf.DUMMYFUNCTION("""COMPUTED_VALUE"""),0.4166666666678793)</f>
        <v>0.4166666667</v>
      </c>
      <c r="F182" s="11" t="str">
        <f>IFERROR(__xludf.DUMMYFUNCTION("""COMPUTED_VALUE"""),"GED1111.4")</f>
        <v>GED1111.4</v>
      </c>
      <c r="G182" s="11" t="str">
        <f>IFERROR(__xludf.DUMMYFUNCTION("""COMPUTED_VALUE"""),"Principles of Accounting")</f>
        <v>Principles of Accounting</v>
      </c>
      <c r="H182" s="13">
        <f>IFERROR(__xludf.DUMMYFUNCTION("""COMPUTED_VALUE"""),31.0)</f>
        <v>31</v>
      </c>
      <c r="I182" s="11" t="str">
        <f>IFERROR(__xludf.DUMMYFUNCTION("""COMPUTED_VALUE"""),"[JNS] Jannatul Naim Sweety")</f>
        <v>[JNS] Jannatul Naim Sweety</v>
      </c>
      <c r="J182" s="13">
        <f t="shared" si="1"/>
        <v>-1</v>
      </c>
    </row>
    <row r="183">
      <c r="A183" s="11" t="str">
        <f>IFERROR(__xludf.DUMMYFUNCTION("""COMPUTED_VALUE"""),"C")</f>
        <v>C</v>
      </c>
      <c r="B183" s="11" t="str">
        <f>IFERROR(__xludf.DUMMYFUNCTION("""COMPUTED_VALUE"""),"Slot - 07")</f>
        <v>Slot - 07</v>
      </c>
      <c r="C183" s="11" t="str">
        <f>IFERROR(__xludf.DUMMYFUNCTION("""COMPUTED_VALUE"""),"15.04.2026")</f>
        <v>15.04.2026</v>
      </c>
      <c r="D183" s="12">
        <f>IFERROR(__xludf.DUMMYFUNCTION("""COMPUTED_VALUE"""),0.3541666666678793)</f>
        <v>0.3541666667</v>
      </c>
      <c r="E183" s="12">
        <f>IFERROR(__xludf.DUMMYFUNCTION("""COMPUTED_VALUE"""),0.4166666666678793)</f>
        <v>0.4166666667</v>
      </c>
      <c r="F183" s="11" t="str">
        <f>IFERROR(__xludf.DUMMYFUNCTION("""COMPUTED_VALUE"""),"PHY181.9")</f>
        <v>PHY181.9</v>
      </c>
      <c r="G183" s="11" t="str">
        <f>IFERROR(__xludf.DUMMYFUNCTION("""COMPUTED_VALUE"""),"Physics II")</f>
        <v>Physics II</v>
      </c>
      <c r="H183" s="13">
        <f>IFERROR(__xludf.DUMMYFUNCTION("""COMPUTED_VALUE"""),40.0)</f>
        <v>40</v>
      </c>
      <c r="I183" s="11" t="str">
        <f>IFERROR(__xludf.DUMMYFUNCTION("""COMPUTED_VALUE"""),"[KDS] Kanta Das")</f>
        <v>[KDS] Kanta Das</v>
      </c>
      <c r="J183" s="13">
        <f t="shared" si="1"/>
        <v>1</v>
      </c>
    </row>
    <row r="184">
      <c r="A184" s="11" t="str">
        <f>IFERROR(__xludf.DUMMYFUNCTION("""COMPUTED_VALUE"""),"C")</f>
        <v>C</v>
      </c>
      <c r="B184" s="11" t="str">
        <f>IFERROR(__xludf.DUMMYFUNCTION("""COMPUTED_VALUE"""),"Slot - 19")</f>
        <v>Slot - 19</v>
      </c>
      <c r="C184" s="11" t="str">
        <f>IFERROR(__xludf.DUMMYFUNCTION("""COMPUTED_VALUE"""),"20.04.2026")</f>
        <v>20.04.2026</v>
      </c>
      <c r="D184" s="12">
        <f>IFERROR(__xludf.DUMMYFUNCTION("""COMPUTED_VALUE"""),0.3541666666678793)</f>
        <v>0.3541666667</v>
      </c>
      <c r="E184" s="12">
        <f>IFERROR(__xludf.DUMMYFUNCTION("""COMPUTED_VALUE"""),0.4166666666678793)</f>
        <v>0.4166666667</v>
      </c>
      <c r="F184" s="11" t="str">
        <f>IFERROR(__xludf.DUMMYFUNCTION("""COMPUTED_VALUE"""),"CSE381.5")</f>
        <v>CSE381.5</v>
      </c>
      <c r="G184" s="11" t="str">
        <f>IFERROR(__xludf.DUMMYFUNCTION("""COMPUTED_VALUE"""),"Introduction to Embedded Systems")</f>
        <v>Introduction to Embedded Systems</v>
      </c>
      <c r="H184" s="13">
        <f>IFERROR(__xludf.DUMMYFUNCTION("""COMPUTED_VALUE"""),35.0)</f>
        <v>35</v>
      </c>
      <c r="I184" s="11" t="str">
        <f>IFERROR(__xludf.DUMMYFUNCTION("""COMPUTED_VALUE"""),"[KDZN] Khondokar Zahin")</f>
        <v>[KDZN] Khondokar Zahin</v>
      </c>
      <c r="J184" s="13">
        <f t="shared" si="1"/>
        <v>-1</v>
      </c>
    </row>
    <row r="185">
      <c r="A185" s="11" t="str">
        <f>IFERROR(__xludf.DUMMYFUNCTION("""COMPUTED_VALUE"""),"C")</f>
        <v>C</v>
      </c>
      <c r="B185" s="11" t="str">
        <f>IFERROR(__xludf.DUMMYFUNCTION("""COMPUTED_VALUE"""),"Slot - 19")</f>
        <v>Slot - 19</v>
      </c>
      <c r="C185" s="11" t="str">
        <f>IFERROR(__xludf.DUMMYFUNCTION("""COMPUTED_VALUE"""),"20.04.2026")</f>
        <v>20.04.2026</v>
      </c>
      <c r="D185" s="12">
        <f>IFERROR(__xludf.DUMMYFUNCTION("""COMPUTED_VALUE"""),0.3541666666678793)</f>
        <v>0.3541666667</v>
      </c>
      <c r="E185" s="12">
        <f>IFERROR(__xludf.DUMMYFUNCTION("""COMPUTED_VALUE"""),0.4166666666678793)</f>
        <v>0.4166666667</v>
      </c>
      <c r="F185" s="11" t="str">
        <f>IFERROR(__xludf.DUMMYFUNCTION("""COMPUTED_VALUE"""),"CSE381.6")</f>
        <v>CSE381.6</v>
      </c>
      <c r="G185" s="11" t="str">
        <f>IFERROR(__xludf.DUMMYFUNCTION("""COMPUTED_VALUE"""),"Introduction to Embedded Systems")</f>
        <v>Introduction to Embedded Systems</v>
      </c>
      <c r="H185" s="13">
        <f>IFERROR(__xludf.DUMMYFUNCTION("""COMPUTED_VALUE"""),37.0)</f>
        <v>37</v>
      </c>
      <c r="I185" s="11" t="str">
        <f>IFERROR(__xludf.DUMMYFUNCTION("""COMPUTED_VALUE"""),"[KDZN] Khondokar Zahin")</f>
        <v>[KDZN] Khondokar Zahin</v>
      </c>
      <c r="J185" s="13">
        <f t="shared" si="1"/>
        <v>-1</v>
      </c>
    </row>
    <row r="186">
      <c r="A186" s="11" t="str">
        <f>IFERROR(__xludf.DUMMYFUNCTION("""COMPUTED_VALUE"""),"C")</f>
        <v>C</v>
      </c>
      <c r="B186" s="11" t="str">
        <f>IFERROR(__xludf.DUMMYFUNCTION("""COMPUTED_VALUE"""),"Slot - 22")</f>
        <v>Slot - 22</v>
      </c>
      <c r="C186" s="11" t="str">
        <f>IFERROR(__xludf.DUMMYFUNCTION("""COMPUTED_VALUE"""),"21.04.2026")</f>
        <v>21.04.2026</v>
      </c>
      <c r="D186" s="12">
        <f>IFERROR(__xludf.DUMMYFUNCTION("""COMPUTED_VALUE"""),0.3541666666678793)</f>
        <v>0.3541666667</v>
      </c>
      <c r="E186" s="12">
        <f>IFERROR(__xludf.DUMMYFUNCTION("""COMPUTED_VALUE"""),0.4166666666678793)</f>
        <v>0.4166666667</v>
      </c>
      <c r="F186" s="11" t="str">
        <f>IFERROR(__xludf.DUMMYFUNCTION("""COMPUTED_VALUE"""),"MGT281.2")</f>
        <v>MGT281.2</v>
      </c>
      <c r="G186" s="11" t="str">
        <f>IFERROR(__xludf.DUMMYFUNCTION("""COMPUTED_VALUE"""),"Introduction to Business &amp; Management")</f>
        <v>Introduction to Business &amp; Management</v>
      </c>
      <c r="H186" s="13">
        <f>IFERROR(__xludf.DUMMYFUNCTION("""COMPUTED_VALUE"""),41.0)</f>
        <v>41</v>
      </c>
      <c r="I186" s="11" t="str">
        <f>IFERROR(__xludf.DUMMYFUNCTION("""COMPUTED_VALUE"""),"[KFA] Kanis Fatema")</f>
        <v>[KFA] Kanis Fatema</v>
      </c>
      <c r="J186" s="13">
        <f t="shared" si="1"/>
        <v>1</v>
      </c>
    </row>
    <row r="187">
      <c r="A187" s="11" t="str">
        <f>IFERROR(__xludf.DUMMYFUNCTION("""COMPUTED_VALUE"""),"C")</f>
        <v>C</v>
      </c>
      <c r="B187" s="11" t="str">
        <f>IFERROR(__xludf.DUMMYFUNCTION("""COMPUTED_VALUE"""),"Slot - 22")</f>
        <v>Slot - 22</v>
      </c>
      <c r="C187" s="11" t="str">
        <f>IFERROR(__xludf.DUMMYFUNCTION("""COMPUTED_VALUE"""),"21.04.2026")</f>
        <v>21.04.2026</v>
      </c>
      <c r="D187" s="12">
        <f>IFERROR(__xludf.DUMMYFUNCTION("""COMPUTED_VALUE"""),0.3541666666678793)</f>
        <v>0.3541666667</v>
      </c>
      <c r="E187" s="12">
        <f>IFERROR(__xludf.DUMMYFUNCTION("""COMPUTED_VALUE"""),0.4166666666678793)</f>
        <v>0.4166666667</v>
      </c>
      <c r="F187" s="11" t="str">
        <f>IFERROR(__xludf.DUMMYFUNCTION("""COMPUTED_VALUE"""),"MGT281.4")</f>
        <v>MGT281.4</v>
      </c>
      <c r="G187" s="11" t="str">
        <f>IFERROR(__xludf.DUMMYFUNCTION("""COMPUTED_VALUE"""),"Introduction to Business &amp; Management")</f>
        <v>Introduction to Business &amp; Management</v>
      </c>
      <c r="H187" s="13">
        <f>IFERROR(__xludf.DUMMYFUNCTION("""COMPUTED_VALUE"""),41.0)</f>
        <v>41</v>
      </c>
      <c r="I187" s="11" t="str">
        <f>IFERROR(__xludf.DUMMYFUNCTION("""COMPUTED_VALUE"""),"[KFA] Kanis Fatema")</f>
        <v>[KFA] Kanis Fatema</v>
      </c>
      <c r="J187" s="13">
        <f t="shared" si="1"/>
        <v>1</v>
      </c>
    </row>
    <row r="188">
      <c r="A188" s="11" t="str">
        <f>IFERROR(__xludf.DUMMYFUNCTION("""COMPUTED_VALUE"""),"C")</f>
        <v>C</v>
      </c>
      <c r="B188" s="11" t="str">
        <f>IFERROR(__xludf.DUMMYFUNCTION("""COMPUTED_VALUE"""),"Slot - 08")</f>
        <v>Slot - 08</v>
      </c>
      <c r="C188" s="11" t="str">
        <f>IFERROR(__xludf.DUMMYFUNCTION("""COMPUTED_VALUE"""),"15.04.2026")</f>
        <v>15.04.2026</v>
      </c>
      <c r="D188" s="12">
        <f>IFERROR(__xludf.DUMMYFUNCTION("""COMPUTED_VALUE"""),0.4791666666678793)</f>
        <v>0.4791666667</v>
      </c>
      <c r="E188" s="12">
        <f>IFERROR(__xludf.DUMMYFUNCTION("""COMPUTED_VALUE"""),0.5416666666678793)</f>
        <v>0.5416666667</v>
      </c>
      <c r="F188" s="11" t="str">
        <f>IFERROR(__xludf.DUMMYFUNCTION("""COMPUTED_VALUE"""),"CSE261.10")</f>
        <v>CSE261.10</v>
      </c>
      <c r="G188" s="11" t="str">
        <f>IFERROR(__xludf.DUMMYFUNCTION("""COMPUTED_VALUE"""),"Numerical Methods")</f>
        <v>Numerical Methods</v>
      </c>
      <c r="H188" s="13">
        <f>IFERROR(__xludf.DUMMYFUNCTION("""COMPUTED_VALUE"""),38.0)</f>
        <v>38</v>
      </c>
      <c r="I188" s="11" t="str">
        <f>IFERROR(__xludf.DUMMYFUNCTION("""COMPUTED_VALUE"""),"[KHAN] Shahriar Khan")</f>
        <v>[KHAN] Shahriar Khan</v>
      </c>
      <c r="J188" s="13">
        <f t="shared" si="1"/>
        <v>-1</v>
      </c>
    </row>
    <row r="189">
      <c r="A189" s="11" t="str">
        <f>IFERROR(__xludf.DUMMYFUNCTION("""COMPUTED_VALUE"""),"C")</f>
        <v>C</v>
      </c>
      <c r="B189" s="11" t="str">
        <f>IFERROR(__xludf.DUMMYFUNCTION("""COMPUTED_VALUE"""),"Slot - 08")</f>
        <v>Slot - 08</v>
      </c>
      <c r="C189" s="11" t="str">
        <f>IFERROR(__xludf.DUMMYFUNCTION("""COMPUTED_VALUE"""),"15.04.2026")</f>
        <v>15.04.2026</v>
      </c>
      <c r="D189" s="12">
        <f>IFERROR(__xludf.DUMMYFUNCTION("""COMPUTED_VALUE"""),0.4791666666678793)</f>
        <v>0.4791666667</v>
      </c>
      <c r="E189" s="12">
        <f>IFERROR(__xludf.DUMMYFUNCTION("""COMPUTED_VALUE"""),0.5416666666678793)</f>
        <v>0.5416666667</v>
      </c>
      <c r="F189" s="11" t="str">
        <f>IFERROR(__xludf.DUMMYFUNCTION("""COMPUTED_VALUE"""),"CSE261.11")</f>
        <v>CSE261.11</v>
      </c>
      <c r="G189" s="11" t="str">
        <f>IFERROR(__xludf.DUMMYFUNCTION("""COMPUTED_VALUE"""),"Numerical Methods")</f>
        <v>Numerical Methods</v>
      </c>
      <c r="H189" s="13">
        <f>IFERROR(__xludf.DUMMYFUNCTION("""COMPUTED_VALUE"""),39.0)</f>
        <v>39</v>
      </c>
      <c r="I189" s="11" t="str">
        <f>IFERROR(__xludf.DUMMYFUNCTION("""COMPUTED_VALUE"""),"[KHAN] Shahriar Khan")</f>
        <v>[KHAN] Shahriar Khan</v>
      </c>
      <c r="J189" s="13">
        <f t="shared" si="1"/>
        <v>-1</v>
      </c>
    </row>
    <row r="190">
      <c r="A190" s="11" t="str">
        <f>IFERROR(__xludf.DUMMYFUNCTION("""COMPUTED_VALUE"""),"C")</f>
        <v>C</v>
      </c>
      <c r="B190" s="11" t="str">
        <f>IFERROR(__xludf.DUMMYFUNCTION("""COMPUTED_VALUE"""),"Slot - 17")</f>
        <v>Slot - 17</v>
      </c>
      <c r="C190" s="11" t="str">
        <f>IFERROR(__xludf.DUMMYFUNCTION("""COMPUTED_VALUE"""),"19.04.2026")</f>
        <v>19.04.2026</v>
      </c>
      <c r="D190" s="12">
        <f>IFERROR(__xludf.DUMMYFUNCTION("""COMPUTED_VALUE"""),0.4791666666678793)</f>
        <v>0.4791666667</v>
      </c>
      <c r="E190" s="12">
        <f>IFERROR(__xludf.DUMMYFUNCTION("""COMPUTED_VALUE"""),0.5416666666678793)</f>
        <v>0.5416666667</v>
      </c>
      <c r="F190" s="11" t="str">
        <f>IFERROR(__xludf.DUMMYFUNCTION("""COMPUTED_VALUE"""),"CSE365.7")</f>
        <v>CSE365.7</v>
      </c>
      <c r="G190" s="11" t="str">
        <f>IFERROR(__xludf.DUMMYFUNCTION("""COMPUTED_VALUE"""),"Artificial Intelligence")</f>
        <v>Artificial Intelligence</v>
      </c>
      <c r="H190" s="13">
        <f>IFERROR(__xludf.DUMMYFUNCTION("""COMPUTED_VALUE"""),41.0)</f>
        <v>41</v>
      </c>
      <c r="I190" s="11" t="str">
        <f>IFERROR(__xludf.DUMMYFUNCTION("""COMPUTED_VALUE"""),"[KMU] Khandaker Mohammad Mohi Uddin")</f>
        <v>[KMU] Khandaker Mohammad Mohi Uddin</v>
      </c>
      <c r="J190" s="13">
        <f t="shared" si="1"/>
        <v>1</v>
      </c>
    </row>
    <row r="191">
      <c r="A191" s="11" t="str">
        <f>IFERROR(__xludf.DUMMYFUNCTION("""COMPUTED_VALUE"""),"C")</f>
        <v>C</v>
      </c>
      <c r="B191" s="11" t="str">
        <f>IFERROR(__xludf.DUMMYFUNCTION("""COMPUTED_VALUE"""),"Slot - 17")</f>
        <v>Slot - 17</v>
      </c>
      <c r="C191" s="11" t="str">
        <f>IFERROR(__xludf.DUMMYFUNCTION("""COMPUTED_VALUE"""),"19.04.2026")</f>
        <v>19.04.2026</v>
      </c>
      <c r="D191" s="12">
        <f>IFERROR(__xludf.DUMMYFUNCTION("""COMPUTED_VALUE"""),0.4791666666678793)</f>
        <v>0.4791666667</v>
      </c>
      <c r="E191" s="12">
        <f>IFERROR(__xludf.DUMMYFUNCTION("""COMPUTED_VALUE"""),0.5416666666678793)</f>
        <v>0.5416666667</v>
      </c>
      <c r="F191" s="11" t="str">
        <f>IFERROR(__xludf.DUMMYFUNCTION("""COMPUTED_VALUE"""),"CSE365.8")</f>
        <v>CSE365.8</v>
      </c>
      <c r="G191" s="11" t="str">
        <f>IFERROR(__xludf.DUMMYFUNCTION("""COMPUTED_VALUE"""),"Artificial Intelligence")</f>
        <v>Artificial Intelligence</v>
      </c>
      <c r="H191" s="13">
        <f>IFERROR(__xludf.DUMMYFUNCTION("""COMPUTED_VALUE"""),42.0)</f>
        <v>42</v>
      </c>
      <c r="I191" s="11" t="str">
        <f>IFERROR(__xludf.DUMMYFUNCTION("""COMPUTED_VALUE"""),"[KMU] Khandaker Mohammad Mohi Uddin")</f>
        <v>[KMU] Khandaker Mohammad Mohi Uddin</v>
      </c>
      <c r="J191" s="13">
        <f t="shared" si="1"/>
        <v>1</v>
      </c>
    </row>
    <row r="192">
      <c r="A192" s="11" t="str">
        <f>IFERROR(__xludf.DUMMYFUNCTION("""COMPUTED_VALUE"""),"C")</f>
        <v>C</v>
      </c>
      <c r="B192" s="11" t="str">
        <f>IFERROR(__xludf.DUMMYFUNCTION("""COMPUTED_VALUE"""),"Slot - 21")</f>
        <v>Slot - 21</v>
      </c>
      <c r="C192" s="11" t="str">
        <f>IFERROR(__xludf.DUMMYFUNCTION("""COMPUTED_VALUE"""),"20.04.2026")</f>
        <v>20.04.2026</v>
      </c>
      <c r="D192" s="12">
        <f>IFERROR(__xludf.DUMMYFUNCTION("""COMPUTED_VALUE"""),0.6041666666678793)</f>
        <v>0.6041666667</v>
      </c>
      <c r="E192" s="12">
        <f>IFERROR(__xludf.DUMMYFUNCTION("""COMPUTED_VALUE"""),0.6666666666678793)</f>
        <v>0.6666666667</v>
      </c>
      <c r="F192" s="11" t="str">
        <f>IFERROR(__xludf.DUMMYFUNCTION("""COMPUTED_VALUE"""),"CSE181.5")</f>
        <v>CSE181.5</v>
      </c>
      <c r="G192" s="11" t="str">
        <f>IFERROR(__xludf.DUMMYFUNCTION("""COMPUTED_VALUE"""),"Discrete Mathematics")</f>
        <v>Discrete Mathematics</v>
      </c>
      <c r="H192" s="13">
        <f>IFERROR(__xludf.DUMMYFUNCTION("""COMPUTED_VALUE"""),39.0)</f>
        <v>39</v>
      </c>
      <c r="I192" s="11" t="str">
        <f>IFERROR(__xludf.DUMMYFUNCTION("""COMPUTED_VALUE"""),"[KMU] Khandaker Mohammad Mohi Uddin")</f>
        <v>[KMU] Khandaker Mohammad Mohi Uddin</v>
      </c>
      <c r="J192" s="13">
        <f t="shared" si="1"/>
        <v>1</v>
      </c>
    </row>
    <row r="193">
      <c r="A193" s="11" t="str">
        <f>IFERROR(__xludf.DUMMYFUNCTION("""COMPUTED_VALUE"""),"C")</f>
        <v>C</v>
      </c>
      <c r="B193" s="11" t="str">
        <f>IFERROR(__xludf.DUMMYFUNCTION("""COMPUTED_VALUE"""),"Slot - 21")</f>
        <v>Slot - 21</v>
      </c>
      <c r="C193" s="11" t="str">
        <f>IFERROR(__xludf.DUMMYFUNCTION("""COMPUTED_VALUE"""),"20.04.2026")</f>
        <v>20.04.2026</v>
      </c>
      <c r="D193" s="12">
        <f>IFERROR(__xludf.DUMMYFUNCTION("""COMPUTED_VALUE"""),0.6041666666678793)</f>
        <v>0.6041666667</v>
      </c>
      <c r="E193" s="12">
        <f>IFERROR(__xludf.DUMMYFUNCTION("""COMPUTED_VALUE"""),0.6666666666678793)</f>
        <v>0.6666666667</v>
      </c>
      <c r="F193" s="11" t="str">
        <f>IFERROR(__xludf.DUMMYFUNCTION("""COMPUTED_VALUE"""),"CSE181.6")</f>
        <v>CSE181.6</v>
      </c>
      <c r="G193" s="11" t="str">
        <f>IFERROR(__xludf.DUMMYFUNCTION("""COMPUTED_VALUE"""),"Discrete Mathematics")</f>
        <v>Discrete Mathematics</v>
      </c>
      <c r="H193" s="13">
        <f>IFERROR(__xludf.DUMMYFUNCTION("""COMPUTED_VALUE"""),39.0)</f>
        <v>39</v>
      </c>
      <c r="I193" s="11" t="str">
        <f>IFERROR(__xludf.DUMMYFUNCTION("""COMPUTED_VALUE"""),"[KMU] Khandaker Mohammad Mohi Uddin")</f>
        <v>[KMU] Khandaker Mohammad Mohi Uddin</v>
      </c>
      <c r="J193" s="13">
        <f t="shared" si="1"/>
        <v>1</v>
      </c>
    </row>
    <row r="194">
      <c r="A194" s="11" t="str">
        <f>IFERROR(__xludf.DUMMYFUNCTION("""COMPUTED_VALUE"""),"D")</f>
        <v>D</v>
      </c>
      <c r="B194" s="11" t="str">
        <f>IFERROR(__xludf.DUMMYFUNCTION("""COMPUTED_VALUE"""),"Slot - I")</f>
        <v>Slot - I</v>
      </c>
      <c r="C194" s="11" t="str">
        <f>IFERROR(__xludf.DUMMYFUNCTION("""COMPUTED_VALUE"""),"24.04.2026")</f>
        <v>24.04.2026</v>
      </c>
      <c r="D194" s="12">
        <f>IFERROR(__xludf.DUMMYFUNCTION("""COMPUTED_VALUE"""),0.6041666666678793)</f>
        <v>0.6041666667</v>
      </c>
      <c r="E194" s="12">
        <f>IFERROR(__xludf.DUMMYFUNCTION("""COMPUTED_VALUE"""),0.6666666666678793)</f>
        <v>0.6666666667</v>
      </c>
      <c r="F194" s="11" t="str">
        <f>IFERROR(__xludf.DUMMYFUNCTION("""COMPUTED_VALUE"""),"CSE365.14")</f>
        <v>CSE365.14</v>
      </c>
      <c r="G194" s="11" t="str">
        <f>IFERROR(__xludf.DUMMYFUNCTION("""COMPUTED_VALUE"""),"Artificial Intelligence")</f>
        <v>Artificial Intelligence</v>
      </c>
      <c r="H194" s="13">
        <f>IFERROR(__xludf.DUMMYFUNCTION("""COMPUTED_VALUE"""),41.0)</f>
        <v>41</v>
      </c>
      <c r="I194" s="11" t="str">
        <f>IFERROR(__xludf.DUMMYFUNCTION("""COMPUTED_VALUE"""),"[KMU] Khandaker Mohammad Mohi Uddin")</f>
        <v>[KMU] Khandaker Mohammad Mohi Uddin</v>
      </c>
      <c r="J194" s="13">
        <f t="shared" si="1"/>
        <v>1</v>
      </c>
    </row>
    <row r="195">
      <c r="A195" s="11" t="str">
        <f>IFERROR(__xludf.DUMMYFUNCTION("""COMPUTED_VALUE"""),"C")</f>
        <v>C</v>
      </c>
      <c r="B195" s="11" t="str">
        <f>IFERROR(__xludf.DUMMYFUNCTION("""COMPUTED_VALUE"""),"Slot - 19")</f>
        <v>Slot - 19</v>
      </c>
      <c r="C195" s="11" t="str">
        <f>IFERROR(__xludf.DUMMYFUNCTION("""COMPUTED_VALUE"""),"20.04.2026")</f>
        <v>20.04.2026</v>
      </c>
      <c r="D195" s="12">
        <f>IFERROR(__xludf.DUMMYFUNCTION("""COMPUTED_VALUE"""),0.3541666666678793)</f>
        <v>0.3541666667</v>
      </c>
      <c r="E195" s="12">
        <f>IFERROR(__xludf.DUMMYFUNCTION("""COMPUTED_VALUE"""),0.4166666666678793)</f>
        <v>0.4166666667</v>
      </c>
      <c r="F195" s="11" t="str">
        <f>IFERROR(__xludf.DUMMYFUNCTION("""COMPUTED_VALUE"""),"ETE281.1")</f>
        <v>ETE281.1</v>
      </c>
      <c r="G195" s="11" t="str">
        <f>IFERROR(__xludf.DUMMYFUNCTION("""COMPUTED_VALUE"""),"Communication Theory")</f>
        <v>Communication Theory</v>
      </c>
      <c r="H195" s="13">
        <f>IFERROR(__xludf.DUMMYFUNCTION("""COMPUTED_VALUE"""),41.0)</f>
        <v>41</v>
      </c>
      <c r="I195" s="11" t="str">
        <f>IFERROR(__xludf.DUMMYFUNCTION("""COMPUTED_VALUE"""),"[KRH] Khondker Rawan Hamid")</f>
        <v>[KRH] Khondker Rawan Hamid</v>
      </c>
      <c r="J195" s="13">
        <f t="shared" si="1"/>
        <v>-1</v>
      </c>
    </row>
    <row r="196">
      <c r="A196" s="11" t="str">
        <f>IFERROR(__xludf.DUMMYFUNCTION("""COMPUTED_VALUE"""),"C")</f>
        <v>C</v>
      </c>
      <c r="B196" s="11" t="str">
        <f>IFERROR(__xludf.DUMMYFUNCTION("""COMPUTED_VALUE"""),"Slot - 19")</f>
        <v>Slot - 19</v>
      </c>
      <c r="C196" s="11" t="str">
        <f>IFERROR(__xludf.DUMMYFUNCTION("""COMPUTED_VALUE"""),"20.04.2026")</f>
        <v>20.04.2026</v>
      </c>
      <c r="D196" s="12">
        <f>IFERROR(__xludf.DUMMYFUNCTION("""COMPUTED_VALUE"""),0.3541666666678793)</f>
        <v>0.3541666667</v>
      </c>
      <c r="E196" s="12">
        <f>IFERROR(__xludf.DUMMYFUNCTION("""COMPUTED_VALUE"""),0.4166666666678793)</f>
        <v>0.4166666667</v>
      </c>
      <c r="F196" s="11" t="str">
        <f>IFERROR(__xludf.DUMMYFUNCTION("""COMPUTED_VALUE"""),"ETE281.2")</f>
        <v>ETE281.2</v>
      </c>
      <c r="G196" s="11" t="str">
        <f>IFERROR(__xludf.DUMMYFUNCTION("""COMPUTED_VALUE"""),"Communication Theory")</f>
        <v>Communication Theory</v>
      </c>
      <c r="H196" s="13">
        <f>IFERROR(__xludf.DUMMYFUNCTION("""COMPUTED_VALUE"""),41.0)</f>
        <v>41</v>
      </c>
      <c r="I196" s="11" t="str">
        <f>IFERROR(__xludf.DUMMYFUNCTION("""COMPUTED_VALUE"""),"[KRH] Khondker Rawan Hamid")</f>
        <v>[KRH] Khondker Rawan Hamid</v>
      </c>
      <c r="J196" s="13">
        <f t="shared" si="1"/>
        <v>-1</v>
      </c>
    </row>
    <row r="197">
      <c r="A197" s="11" t="str">
        <f>IFERROR(__xludf.DUMMYFUNCTION("""COMPUTED_VALUE"""),"C")</f>
        <v>C</v>
      </c>
      <c r="B197" s="11" t="str">
        <f>IFERROR(__xludf.DUMMYFUNCTION("""COMPUTED_VALUE"""),"Slot - 19")</f>
        <v>Slot - 19</v>
      </c>
      <c r="C197" s="11" t="str">
        <f>IFERROR(__xludf.DUMMYFUNCTION("""COMPUTED_VALUE"""),"20.04.2026")</f>
        <v>20.04.2026</v>
      </c>
      <c r="D197" s="12">
        <f>IFERROR(__xludf.DUMMYFUNCTION("""COMPUTED_VALUE"""),0.3541666666678793)</f>
        <v>0.3541666667</v>
      </c>
      <c r="E197" s="12">
        <f>IFERROR(__xludf.DUMMYFUNCTION("""COMPUTED_VALUE"""),0.4166666666678793)</f>
        <v>0.4166666667</v>
      </c>
      <c r="F197" s="11" t="str">
        <f>IFERROR(__xludf.DUMMYFUNCTION("""COMPUTED_VALUE"""),"ETE281.3")</f>
        <v>ETE281.3</v>
      </c>
      <c r="G197" s="11" t="str">
        <f>IFERROR(__xludf.DUMMYFUNCTION("""COMPUTED_VALUE"""),"Communication Theory")</f>
        <v>Communication Theory</v>
      </c>
      <c r="H197" s="13">
        <f>IFERROR(__xludf.DUMMYFUNCTION("""COMPUTED_VALUE"""),41.0)</f>
        <v>41</v>
      </c>
      <c r="I197" s="11" t="str">
        <f>IFERROR(__xludf.DUMMYFUNCTION("""COMPUTED_VALUE"""),"[KRH] Khondker Rawan Hamid")</f>
        <v>[KRH] Khondker Rawan Hamid</v>
      </c>
      <c r="J197" s="13">
        <f t="shared" si="1"/>
        <v>-1</v>
      </c>
    </row>
    <row r="198">
      <c r="A198" s="11" t="str">
        <f>IFERROR(__xludf.DUMMYFUNCTION("""COMPUTED_VALUE"""),"C")</f>
        <v>C</v>
      </c>
      <c r="B198" s="11" t="str">
        <f>IFERROR(__xludf.DUMMYFUNCTION("""COMPUTED_VALUE"""),"Slot - 22")</f>
        <v>Slot - 22</v>
      </c>
      <c r="C198" s="11" t="str">
        <f>IFERROR(__xludf.DUMMYFUNCTION("""COMPUTED_VALUE"""),"21.04.2026")</f>
        <v>21.04.2026</v>
      </c>
      <c r="D198" s="12">
        <f>IFERROR(__xludf.DUMMYFUNCTION("""COMPUTED_VALUE"""),0.3541666666678793)</f>
        <v>0.3541666667</v>
      </c>
      <c r="E198" s="12">
        <f>IFERROR(__xludf.DUMMYFUNCTION("""COMPUTED_VALUE"""),0.4166666666678793)</f>
        <v>0.4166666667</v>
      </c>
      <c r="F198" s="11" t="str">
        <f>IFERROR(__xludf.DUMMYFUNCTION("""COMPUTED_VALUE"""),"EEE181.4")</f>
        <v>EEE181.4</v>
      </c>
      <c r="G198" s="11" t="str">
        <f>IFERROR(__xludf.DUMMYFUNCTION("""COMPUTED_VALUE"""),"Electrical Circuits Design I")</f>
        <v>Electrical Circuits Design I</v>
      </c>
      <c r="H198" s="13">
        <f>IFERROR(__xludf.DUMMYFUNCTION("""COMPUTED_VALUE"""),38.0)</f>
        <v>38</v>
      </c>
      <c r="I198" s="11" t="str">
        <f>IFERROR(__xludf.DUMMYFUNCTION("""COMPUTED_VALUE"""),"[KRH] Khondker Rawan Hamid")</f>
        <v>[KRH] Khondker Rawan Hamid</v>
      </c>
      <c r="J198" s="13">
        <f t="shared" si="1"/>
        <v>-1</v>
      </c>
    </row>
    <row r="199">
      <c r="A199" s="11" t="str">
        <f>IFERROR(__xludf.DUMMYFUNCTION("""COMPUTED_VALUE"""),"C")</f>
        <v>C</v>
      </c>
      <c r="B199" s="11" t="str">
        <f>IFERROR(__xludf.DUMMYFUNCTION("""COMPUTED_VALUE"""),"Slot - 03")</f>
        <v>Slot - 03</v>
      </c>
      <c r="C199" s="11" t="str">
        <f>IFERROR(__xludf.DUMMYFUNCTION("""COMPUTED_VALUE"""),"12.04.2026")</f>
        <v>12.04.2026</v>
      </c>
      <c r="D199" s="12">
        <f>IFERROR(__xludf.DUMMYFUNCTION("""COMPUTED_VALUE"""),0.6041666666678793)</f>
        <v>0.6041666667</v>
      </c>
      <c r="E199" s="12">
        <f>IFERROR(__xludf.DUMMYFUNCTION("""COMPUTED_VALUE"""),0.6666666666678793)</f>
        <v>0.6666666667</v>
      </c>
      <c r="F199" s="11" t="str">
        <f>IFERROR(__xludf.DUMMYFUNCTION("""COMPUTED_VALUE"""),"CSE471.2")</f>
        <v>CSE471.2</v>
      </c>
      <c r="G199" s="11" t="str">
        <f>IFERROR(__xludf.DUMMYFUNCTION("""COMPUTED_VALUE"""),"Web and Internet Programming")</f>
        <v>Web and Internet Programming</v>
      </c>
      <c r="H199" s="13">
        <f>IFERROR(__xludf.DUMMYFUNCTION("""COMPUTED_VALUE"""),40.0)</f>
        <v>40</v>
      </c>
      <c r="I199" s="11" t="str">
        <f>IFERROR(__xludf.DUMMYFUNCTION("""COMPUTED_VALUE"""),"[LHD] Al Hasib Mahamud")</f>
        <v>[LHD] Al Hasib Mahamud</v>
      </c>
      <c r="J199" s="13">
        <f t="shared" si="1"/>
        <v>1</v>
      </c>
    </row>
    <row r="200">
      <c r="A200" s="11" t="str">
        <f>IFERROR(__xludf.DUMMYFUNCTION("""COMPUTED_VALUE"""),"D")</f>
        <v>D</v>
      </c>
      <c r="B200" s="11" t="str">
        <f>IFERROR(__xludf.DUMMYFUNCTION("""COMPUTED_VALUE"""),"Slot - D")</f>
        <v>Slot - D</v>
      </c>
      <c r="C200" s="11" t="str">
        <f>IFERROR(__xludf.DUMMYFUNCTION("""COMPUTED_VALUE"""),"17.04.2026")</f>
        <v>17.04.2026</v>
      </c>
      <c r="D200" s="12">
        <f>IFERROR(__xludf.DUMMYFUNCTION("""COMPUTED_VALUE"""),0.7083333333321207)</f>
        <v>0.7083333333</v>
      </c>
      <c r="E200" s="12">
        <f>IFERROR(__xludf.DUMMYFUNCTION("""COMPUTED_VALUE"""),0.7708333333321207)</f>
        <v>0.7708333333</v>
      </c>
      <c r="F200" s="11" t="str">
        <f>IFERROR(__xludf.DUMMYFUNCTION("""COMPUTED_VALUE"""),"CSE343.8")</f>
        <v>CSE343.8</v>
      </c>
      <c r="G200" s="11" t="str">
        <f>IFERROR(__xludf.DUMMYFUNCTION("""COMPUTED_VALUE"""),"Computer Architecture")</f>
        <v>Computer Architecture</v>
      </c>
      <c r="H200" s="13">
        <f>IFERROR(__xludf.DUMMYFUNCTION("""COMPUTED_VALUE"""),40.0)</f>
        <v>40</v>
      </c>
      <c r="I200" s="11" t="str">
        <f>IFERROR(__xludf.DUMMYFUNCTION("""COMPUTED_VALUE"""),"[LYPY] Lubna Yasmin Pinky")</f>
        <v>[LYPY] Lubna Yasmin Pinky</v>
      </c>
      <c r="J200" s="13">
        <f t="shared" si="1"/>
        <v>-1</v>
      </c>
    </row>
    <row r="201">
      <c r="A201" s="11" t="str">
        <f>IFERROR(__xludf.DUMMYFUNCTION("""COMPUTED_VALUE"""),"D")</f>
        <v>D</v>
      </c>
      <c r="B201" s="11" t="str">
        <f>IFERROR(__xludf.DUMMYFUNCTION("""COMPUTED_VALUE"""),"Slot - F")</f>
        <v>Slot - F</v>
      </c>
      <c r="C201" s="11" t="str">
        <f>IFERROR(__xludf.DUMMYFUNCTION("""COMPUTED_VALUE"""),"18.04.2026")</f>
        <v>18.04.2026</v>
      </c>
      <c r="D201" s="12">
        <f>IFERROR(__xludf.DUMMYFUNCTION("""COMPUTED_VALUE"""),0.7916666666678793)</f>
        <v>0.7916666667</v>
      </c>
      <c r="E201" s="12">
        <f>IFERROR(__xludf.DUMMYFUNCTION("""COMPUTED_VALUE"""),0.8541666666678793)</f>
        <v>0.8541666667</v>
      </c>
      <c r="F201" s="11" t="str">
        <f>IFERROR(__xludf.DUMMYFUNCTION("""COMPUTED_VALUE"""),"CSE343.9")</f>
        <v>CSE343.9</v>
      </c>
      <c r="G201" s="11" t="str">
        <f>IFERROR(__xludf.DUMMYFUNCTION("""COMPUTED_VALUE"""),"Computer Architecture")</f>
        <v>Computer Architecture</v>
      </c>
      <c r="H201" s="13">
        <f>IFERROR(__xludf.DUMMYFUNCTION("""COMPUTED_VALUE"""),35.0)</f>
        <v>35</v>
      </c>
      <c r="I201" s="11" t="str">
        <f>IFERROR(__xludf.DUMMYFUNCTION("""COMPUTED_VALUE"""),"[LYPY] Lubna Yasmin Pinky")</f>
        <v>[LYPY] Lubna Yasmin Pinky</v>
      </c>
      <c r="J201" s="13">
        <f t="shared" si="1"/>
        <v>-1</v>
      </c>
    </row>
    <row r="202">
      <c r="A202" s="11" t="str">
        <f>IFERROR(__xludf.DUMMYFUNCTION("""COMPUTED_VALUE"""),"C")</f>
        <v>C</v>
      </c>
      <c r="B202" s="11" t="str">
        <f>IFERROR(__xludf.DUMMYFUNCTION("""COMPUTED_VALUE"""),"Slot - 02")</f>
        <v>Slot - 02</v>
      </c>
      <c r="C202" s="11" t="str">
        <f>IFERROR(__xludf.DUMMYFUNCTION("""COMPUTED_VALUE"""),"12.04.2026")</f>
        <v>12.04.2026</v>
      </c>
      <c r="D202" s="12">
        <f>IFERROR(__xludf.DUMMYFUNCTION("""COMPUTED_VALUE"""),0.4791666666678793)</f>
        <v>0.4791666667</v>
      </c>
      <c r="E202" s="12">
        <f>IFERROR(__xludf.DUMMYFUNCTION("""COMPUTED_VALUE"""),0.5416666666678793)</f>
        <v>0.5416666667</v>
      </c>
      <c r="F202" s="11" t="str">
        <f>IFERROR(__xludf.DUMMYFUNCTION("""COMPUTED_VALUE"""),"CSE345.8")</f>
        <v>CSE345.8</v>
      </c>
      <c r="G202" s="11" t="str">
        <f>IFERROR(__xludf.DUMMYFUNCTION("""COMPUTED_VALUE"""),"Information System Design &amp; Software Engineering")</f>
        <v>Information System Design &amp; Software Engineering</v>
      </c>
      <c r="H202" s="13">
        <f>IFERROR(__xludf.DUMMYFUNCTION("""COMPUTED_VALUE"""),41.0)</f>
        <v>41</v>
      </c>
      <c r="I202" s="11" t="str">
        <f>IFERROR(__xludf.DUMMYFUNCTION("""COMPUTED_VALUE"""),"[MABH] Mahdi Bhuiyan")</f>
        <v>[MABH] Mahdi Bhuiyan</v>
      </c>
      <c r="J202" s="13">
        <f t="shared" si="1"/>
        <v>1</v>
      </c>
    </row>
    <row r="203">
      <c r="A203" s="11" t="str">
        <f>IFERROR(__xludf.DUMMYFUNCTION("""COMPUTED_VALUE"""),"C")</f>
        <v>C</v>
      </c>
      <c r="B203" s="11" t="str">
        <f>IFERROR(__xludf.DUMMYFUNCTION("""COMPUTED_VALUE"""),"Slot - 04")</f>
        <v>Slot - 04</v>
      </c>
      <c r="C203" s="11" t="str">
        <f>IFERROR(__xludf.DUMMYFUNCTION("""COMPUTED_VALUE"""),"13.04.2026")</f>
        <v>13.04.2026</v>
      </c>
      <c r="D203" s="12">
        <f>IFERROR(__xludf.DUMMYFUNCTION("""COMPUTED_VALUE"""),0.3541666666678793)</f>
        <v>0.3541666667</v>
      </c>
      <c r="E203" s="12">
        <f>IFERROR(__xludf.DUMMYFUNCTION("""COMPUTED_VALUE"""),0.4166666666678793)</f>
        <v>0.4166666667</v>
      </c>
      <c r="F203" s="11" t="str">
        <f>IFERROR(__xludf.DUMMYFUNCTION("""COMPUTED_VALUE"""),"CSE281.8")</f>
        <v>CSE281.8</v>
      </c>
      <c r="G203" s="11" t="str">
        <f>IFERROR(__xludf.DUMMYFUNCTION("""COMPUTED_VALUE"""),"Introduction to Programming Language II (Java)")</f>
        <v>Introduction to Programming Language II (Java)</v>
      </c>
      <c r="H203" s="13">
        <f>IFERROR(__xludf.DUMMYFUNCTION("""COMPUTED_VALUE"""),40.0)</f>
        <v>40</v>
      </c>
      <c r="I203" s="11" t="str">
        <f>IFERROR(__xludf.DUMMYFUNCTION("""COMPUTED_VALUE"""),"[MABH] Mahdi Bhuiyan")</f>
        <v>[MABH] Mahdi Bhuiyan</v>
      </c>
      <c r="J203" s="13">
        <f t="shared" si="1"/>
        <v>1</v>
      </c>
    </row>
    <row r="204">
      <c r="A204" s="11" t="str">
        <f>IFERROR(__xludf.DUMMYFUNCTION("""COMPUTED_VALUE"""),"C")</f>
        <v>C</v>
      </c>
      <c r="B204" s="11" t="str">
        <f>IFERROR(__xludf.DUMMYFUNCTION("""COMPUTED_VALUE"""),"Slot - 04")</f>
        <v>Slot - 04</v>
      </c>
      <c r="C204" s="11" t="str">
        <f>IFERROR(__xludf.DUMMYFUNCTION("""COMPUTED_VALUE"""),"13.04.2026")</f>
        <v>13.04.2026</v>
      </c>
      <c r="D204" s="12">
        <f>IFERROR(__xludf.DUMMYFUNCTION("""COMPUTED_VALUE"""),0.3541666666678793)</f>
        <v>0.3541666667</v>
      </c>
      <c r="E204" s="12">
        <f>IFERROR(__xludf.DUMMYFUNCTION("""COMPUTED_VALUE"""),0.4166666666678793)</f>
        <v>0.4166666667</v>
      </c>
      <c r="F204" s="11" t="str">
        <f>IFERROR(__xludf.DUMMYFUNCTION("""COMPUTED_VALUE"""),"CSE281.9")</f>
        <v>CSE281.9</v>
      </c>
      <c r="G204" s="11" t="str">
        <f>IFERROR(__xludf.DUMMYFUNCTION("""COMPUTED_VALUE"""),"Introduction to Programming Language II (Java)")</f>
        <v>Introduction to Programming Language II (Java)</v>
      </c>
      <c r="H204" s="13">
        <f>IFERROR(__xludf.DUMMYFUNCTION("""COMPUTED_VALUE"""),41.0)</f>
        <v>41</v>
      </c>
      <c r="I204" s="11" t="str">
        <f>IFERROR(__xludf.DUMMYFUNCTION("""COMPUTED_VALUE"""),"[MABH] Mahdi Bhuiyan")</f>
        <v>[MABH] Mahdi Bhuiyan</v>
      </c>
      <c r="J204" s="13">
        <f t="shared" si="1"/>
        <v>1</v>
      </c>
    </row>
    <row r="205">
      <c r="A205" s="11" t="str">
        <f>IFERROR(__xludf.DUMMYFUNCTION("""COMPUTED_VALUE"""),"C")</f>
        <v>C</v>
      </c>
      <c r="B205" s="11" t="str">
        <f>IFERROR(__xludf.DUMMYFUNCTION("""COMPUTED_VALUE"""),"Slot - 11")</f>
        <v>Slot - 11</v>
      </c>
      <c r="C205" s="11" t="str">
        <f>IFERROR(__xludf.DUMMYFUNCTION("""COMPUTED_VALUE"""),"16.04.2026")</f>
        <v>16.04.2026</v>
      </c>
      <c r="D205" s="12">
        <f>IFERROR(__xludf.DUMMYFUNCTION("""COMPUTED_VALUE"""),0.4791666666678793)</f>
        <v>0.4791666667</v>
      </c>
      <c r="E205" s="12">
        <f>IFERROR(__xludf.DUMMYFUNCTION("""COMPUTED_VALUE"""),0.5416666666678793)</f>
        <v>0.5416666667</v>
      </c>
      <c r="F205" s="11" t="str">
        <f>IFERROR(__xludf.DUMMYFUNCTION("""COMPUTED_VALUE"""),"ACT141.3")</f>
        <v>ACT141.3</v>
      </c>
      <c r="G205" s="11" t="str">
        <f>IFERROR(__xludf.DUMMYFUNCTION("""COMPUTED_VALUE"""),"Introduction to Accounting")</f>
        <v>Introduction to Accounting</v>
      </c>
      <c r="H205" s="13">
        <f>IFERROR(__xludf.DUMMYFUNCTION("""COMPUTED_VALUE"""),42.0)</f>
        <v>42</v>
      </c>
      <c r="I205" s="11" t="str">
        <f>IFERROR(__xludf.DUMMYFUNCTION("""COMPUTED_VALUE"""),"[MAC] Mohammad Ahsan Chowdhury")</f>
        <v>[MAC] Mohammad Ahsan Chowdhury</v>
      </c>
      <c r="J205" s="13">
        <f t="shared" si="1"/>
        <v>-1</v>
      </c>
    </row>
    <row r="206">
      <c r="A206" s="11" t="str">
        <f>IFERROR(__xludf.DUMMYFUNCTION("""COMPUTED_VALUE"""),"C")</f>
        <v>C</v>
      </c>
      <c r="B206" s="11" t="str">
        <f>IFERROR(__xludf.DUMMYFUNCTION("""COMPUTED_VALUE"""),"Slot - 11")</f>
        <v>Slot - 11</v>
      </c>
      <c r="C206" s="11" t="str">
        <f>IFERROR(__xludf.DUMMYFUNCTION("""COMPUTED_VALUE"""),"16.04.2026")</f>
        <v>16.04.2026</v>
      </c>
      <c r="D206" s="12">
        <f>IFERROR(__xludf.DUMMYFUNCTION("""COMPUTED_VALUE"""),0.4791666666678793)</f>
        <v>0.4791666667</v>
      </c>
      <c r="E206" s="12">
        <f>IFERROR(__xludf.DUMMYFUNCTION("""COMPUTED_VALUE"""),0.5416666666678793)</f>
        <v>0.5416666667</v>
      </c>
      <c r="F206" s="11" t="str">
        <f>IFERROR(__xludf.DUMMYFUNCTION("""COMPUTED_VALUE"""),"ACT141.4")</f>
        <v>ACT141.4</v>
      </c>
      <c r="G206" s="11" t="str">
        <f>IFERROR(__xludf.DUMMYFUNCTION("""COMPUTED_VALUE"""),"Introduction to Accounting")</f>
        <v>Introduction to Accounting</v>
      </c>
      <c r="H206" s="13">
        <f>IFERROR(__xludf.DUMMYFUNCTION("""COMPUTED_VALUE"""),42.0)</f>
        <v>42</v>
      </c>
      <c r="I206" s="11" t="str">
        <f>IFERROR(__xludf.DUMMYFUNCTION("""COMPUTED_VALUE"""),"[MAC] Mohammad Ahsan Chowdhury")</f>
        <v>[MAC] Mohammad Ahsan Chowdhury</v>
      </c>
      <c r="J206" s="13">
        <f t="shared" si="1"/>
        <v>-1</v>
      </c>
    </row>
    <row r="207">
      <c r="A207" s="11" t="str">
        <f>IFERROR(__xludf.DUMMYFUNCTION("""COMPUTED_VALUE"""),"C")</f>
        <v>C</v>
      </c>
      <c r="B207" s="11" t="str">
        <f>IFERROR(__xludf.DUMMYFUNCTION("""COMPUTED_VALUE"""),"Slot - 01")</f>
        <v>Slot - 01</v>
      </c>
      <c r="C207" s="11" t="str">
        <f>IFERROR(__xludf.DUMMYFUNCTION("""COMPUTED_VALUE"""),"12.04.2026")</f>
        <v>12.04.2026</v>
      </c>
      <c r="D207" s="12">
        <f>IFERROR(__xludf.DUMMYFUNCTION("""COMPUTED_VALUE"""),0.3541666666678793)</f>
        <v>0.3541666667</v>
      </c>
      <c r="E207" s="12">
        <f>IFERROR(__xludf.DUMMYFUNCTION("""COMPUTED_VALUE"""),0.4166666666678793)</f>
        <v>0.4166666667</v>
      </c>
      <c r="F207" s="11" t="str">
        <f>IFERROR(__xludf.DUMMYFUNCTION("""COMPUTED_VALUE"""),"STA281.3")</f>
        <v>STA281.3</v>
      </c>
      <c r="G207" s="11" t="str">
        <f>IFERROR(__xludf.DUMMYFUNCTION("""COMPUTED_VALUE"""),"Statistical Methods &amp; Probability")</f>
        <v>Statistical Methods &amp; Probability</v>
      </c>
      <c r="H207" s="13">
        <f>IFERROR(__xludf.DUMMYFUNCTION("""COMPUTED_VALUE"""),36.0)</f>
        <v>36</v>
      </c>
      <c r="I207" s="11" t="str">
        <f>IFERROR(__xludf.DUMMYFUNCTION("""COMPUTED_VALUE"""),"[MAHB] Mahbub Hasan")</f>
        <v>[MAHB] Mahbub Hasan</v>
      </c>
      <c r="J207" s="13">
        <f t="shared" si="1"/>
        <v>1</v>
      </c>
    </row>
    <row r="208">
      <c r="A208" s="11" t="str">
        <f>IFERROR(__xludf.DUMMYFUNCTION("""COMPUTED_VALUE"""),"C")</f>
        <v>C</v>
      </c>
      <c r="B208" s="11" t="str">
        <f>IFERROR(__xludf.DUMMYFUNCTION("""COMPUTED_VALUE"""),"Slot - 01")</f>
        <v>Slot - 01</v>
      </c>
      <c r="C208" s="11" t="str">
        <f>IFERROR(__xludf.DUMMYFUNCTION("""COMPUTED_VALUE"""),"12.04.2026")</f>
        <v>12.04.2026</v>
      </c>
      <c r="D208" s="12">
        <f>IFERROR(__xludf.DUMMYFUNCTION("""COMPUTED_VALUE"""),0.3541666666678793)</f>
        <v>0.3541666667</v>
      </c>
      <c r="E208" s="12">
        <f>IFERROR(__xludf.DUMMYFUNCTION("""COMPUTED_VALUE"""),0.4166666666678793)</f>
        <v>0.4166666667</v>
      </c>
      <c r="F208" s="11" t="str">
        <f>IFERROR(__xludf.DUMMYFUNCTION("""COMPUTED_VALUE"""),"STA281.4")</f>
        <v>STA281.4</v>
      </c>
      <c r="G208" s="11" t="str">
        <f>IFERROR(__xludf.DUMMYFUNCTION("""COMPUTED_VALUE"""),"Statistical Methods &amp; Probability")</f>
        <v>Statistical Methods &amp; Probability</v>
      </c>
      <c r="H208" s="13">
        <f>IFERROR(__xludf.DUMMYFUNCTION("""COMPUTED_VALUE"""),39.0)</f>
        <v>39</v>
      </c>
      <c r="I208" s="11" t="str">
        <f>IFERROR(__xludf.DUMMYFUNCTION("""COMPUTED_VALUE"""),"[MAHB] Mahbub Hasan")</f>
        <v>[MAHB] Mahbub Hasan</v>
      </c>
      <c r="J208" s="13">
        <f t="shared" si="1"/>
        <v>1</v>
      </c>
    </row>
    <row r="209">
      <c r="A209" s="11" t="str">
        <f>IFERROR(__xludf.DUMMYFUNCTION("""COMPUTED_VALUE"""),"C")</f>
        <v>C</v>
      </c>
      <c r="B209" s="11" t="str">
        <f>IFERROR(__xludf.DUMMYFUNCTION("""COMPUTED_VALUE"""),"Slot - 01")</f>
        <v>Slot - 01</v>
      </c>
      <c r="C209" s="11" t="str">
        <f>IFERROR(__xludf.DUMMYFUNCTION("""COMPUTED_VALUE"""),"12.04.2026")</f>
        <v>12.04.2026</v>
      </c>
      <c r="D209" s="12">
        <f>IFERROR(__xludf.DUMMYFUNCTION("""COMPUTED_VALUE"""),0.3541666666678793)</f>
        <v>0.3541666667</v>
      </c>
      <c r="E209" s="12">
        <f>IFERROR(__xludf.DUMMYFUNCTION("""COMPUTED_VALUE"""),0.4166666666678793)</f>
        <v>0.4166666667</v>
      </c>
      <c r="F209" s="11" t="str">
        <f>IFERROR(__xludf.DUMMYFUNCTION("""COMPUTED_VALUE"""),"STA281.7")</f>
        <v>STA281.7</v>
      </c>
      <c r="G209" s="11" t="str">
        <f>IFERROR(__xludf.DUMMYFUNCTION("""COMPUTED_VALUE"""),"Statistical Methods &amp; Probability")</f>
        <v>Statistical Methods &amp; Probability</v>
      </c>
      <c r="H209" s="13">
        <f>IFERROR(__xludf.DUMMYFUNCTION("""COMPUTED_VALUE"""),33.0)</f>
        <v>33</v>
      </c>
      <c r="I209" s="11" t="str">
        <f>IFERROR(__xludf.DUMMYFUNCTION("""COMPUTED_VALUE"""),"[MAHB] Mahbub Hasan")</f>
        <v>[MAHB] Mahbub Hasan</v>
      </c>
      <c r="J209" s="13">
        <f t="shared" si="1"/>
        <v>1</v>
      </c>
    </row>
    <row r="210">
      <c r="A210" s="11" t="str">
        <f>IFERROR(__xludf.DUMMYFUNCTION("""COMPUTED_VALUE"""),"C")</f>
        <v>C</v>
      </c>
      <c r="B210" s="11" t="str">
        <f>IFERROR(__xludf.DUMMYFUNCTION("""COMPUTED_VALUE"""),"Slot - 23")</f>
        <v>Slot - 23</v>
      </c>
      <c r="C210" s="11" t="str">
        <f>IFERROR(__xludf.DUMMYFUNCTION("""COMPUTED_VALUE"""),"21.04.2026")</f>
        <v>21.04.2026</v>
      </c>
      <c r="D210" s="12">
        <f>IFERROR(__xludf.DUMMYFUNCTION("""COMPUTED_VALUE"""),0.4791666666678793)</f>
        <v>0.4791666667</v>
      </c>
      <c r="E210" s="12">
        <f>IFERROR(__xludf.DUMMYFUNCTION("""COMPUTED_VALUE"""),0.5416666666678793)</f>
        <v>0.5416666667</v>
      </c>
      <c r="F210" s="11" t="str">
        <f>IFERROR(__xludf.DUMMYFUNCTION("""COMPUTED_VALUE"""),"CSE355.1")</f>
        <v>CSE355.1</v>
      </c>
      <c r="G210" s="11" t="str">
        <f>IFERROR(__xludf.DUMMYFUNCTION("""COMPUTED_VALUE"""),"Image Processing")</f>
        <v>Image Processing</v>
      </c>
      <c r="H210" s="13">
        <f>IFERROR(__xludf.DUMMYFUNCTION("""COMPUTED_VALUE"""),39.0)</f>
        <v>39</v>
      </c>
      <c r="I210" s="11" t="str">
        <f>IFERROR(__xludf.DUMMYFUNCTION("""COMPUTED_VALUE"""),"[MAHB] Mahbub Hasan")</f>
        <v>[MAHB] Mahbub Hasan</v>
      </c>
      <c r="J210" s="13">
        <f t="shared" si="1"/>
        <v>1</v>
      </c>
    </row>
    <row r="211">
      <c r="A211" s="11" t="str">
        <f>IFERROR(__xludf.DUMMYFUNCTION("""COMPUTED_VALUE"""),"C")</f>
        <v>C</v>
      </c>
      <c r="B211" s="11" t="str">
        <f>IFERROR(__xludf.DUMMYFUNCTION("""COMPUTED_VALUE"""),"Slot - 23")</f>
        <v>Slot - 23</v>
      </c>
      <c r="C211" s="11" t="str">
        <f>IFERROR(__xludf.DUMMYFUNCTION("""COMPUTED_VALUE"""),"21.04.2026")</f>
        <v>21.04.2026</v>
      </c>
      <c r="D211" s="12">
        <f>IFERROR(__xludf.DUMMYFUNCTION("""COMPUTED_VALUE"""),0.4791666666678793)</f>
        <v>0.4791666667</v>
      </c>
      <c r="E211" s="12">
        <f>IFERROR(__xludf.DUMMYFUNCTION("""COMPUTED_VALUE"""),0.5416666666678793)</f>
        <v>0.5416666667</v>
      </c>
      <c r="F211" s="11" t="str">
        <f>IFERROR(__xludf.DUMMYFUNCTION("""COMPUTED_VALUE"""),"CSE355.2")</f>
        <v>CSE355.2</v>
      </c>
      <c r="G211" s="11" t="str">
        <f>IFERROR(__xludf.DUMMYFUNCTION("""COMPUTED_VALUE"""),"Image Processing")</f>
        <v>Image Processing</v>
      </c>
      <c r="H211" s="13">
        <f>IFERROR(__xludf.DUMMYFUNCTION("""COMPUTED_VALUE"""),26.0)</f>
        <v>26</v>
      </c>
      <c r="I211" s="11" t="str">
        <f>IFERROR(__xludf.DUMMYFUNCTION("""COMPUTED_VALUE"""),"[MAHB] Mahbub Hasan")</f>
        <v>[MAHB] Mahbub Hasan</v>
      </c>
      <c r="J211" s="13">
        <f t="shared" si="1"/>
        <v>1</v>
      </c>
    </row>
    <row r="212">
      <c r="A212" s="11" t="str">
        <f>IFERROR(__xludf.DUMMYFUNCTION("""COMPUTED_VALUE"""),"C")</f>
        <v>C</v>
      </c>
      <c r="B212" s="11" t="str">
        <f>IFERROR(__xludf.DUMMYFUNCTION("""COMPUTED_VALUE"""),"Slot - 01")</f>
        <v>Slot - 01</v>
      </c>
      <c r="C212" s="11" t="str">
        <f>IFERROR(__xludf.DUMMYFUNCTION("""COMPUTED_VALUE"""),"12.04.2026")</f>
        <v>12.04.2026</v>
      </c>
      <c r="D212" s="12">
        <f>IFERROR(__xludf.DUMMYFUNCTION("""COMPUTED_VALUE"""),0.3541666666678793)</f>
        <v>0.3541666667</v>
      </c>
      <c r="E212" s="12">
        <f>IFERROR(__xludf.DUMMYFUNCTION("""COMPUTED_VALUE"""),0.4166666666678793)</f>
        <v>0.4166666667</v>
      </c>
      <c r="F212" s="11" t="str">
        <f>IFERROR(__xludf.DUMMYFUNCTION("""COMPUTED_VALUE"""),"STA281.1")</f>
        <v>STA281.1</v>
      </c>
      <c r="G212" s="11" t="str">
        <f>IFERROR(__xludf.DUMMYFUNCTION("""COMPUTED_VALUE"""),"Statistical Methods &amp; Probability")</f>
        <v>Statistical Methods &amp; Probability</v>
      </c>
      <c r="H212" s="13">
        <f>IFERROR(__xludf.DUMMYFUNCTION("""COMPUTED_VALUE"""),38.0)</f>
        <v>38</v>
      </c>
      <c r="I212" s="11" t="str">
        <f>IFERROR(__xludf.DUMMYFUNCTION("""COMPUTED_VALUE"""),"[MAKR] Dr. Mohammed Ashikur Rahman")</f>
        <v>[MAKR] Dr. Mohammed Ashikur Rahman</v>
      </c>
      <c r="J212" s="13">
        <f t="shared" si="1"/>
        <v>-1</v>
      </c>
    </row>
    <row r="213">
      <c r="A213" s="11" t="str">
        <f>IFERROR(__xludf.DUMMYFUNCTION("""COMPUTED_VALUE"""),"C")</f>
        <v>C</v>
      </c>
      <c r="B213" s="11" t="str">
        <f>IFERROR(__xludf.DUMMYFUNCTION("""COMPUTED_VALUE"""),"Slot - 01")</f>
        <v>Slot - 01</v>
      </c>
      <c r="C213" s="11" t="str">
        <f>IFERROR(__xludf.DUMMYFUNCTION("""COMPUTED_VALUE"""),"12.04.2026")</f>
        <v>12.04.2026</v>
      </c>
      <c r="D213" s="12">
        <f>IFERROR(__xludf.DUMMYFUNCTION("""COMPUTED_VALUE"""),0.3541666666678793)</f>
        <v>0.3541666667</v>
      </c>
      <c r="E213" s="12">
        <f>IFERROR(__xludf.DUMMYFUNCTION("""COMPUTED_VALUE"""),0.4166666666678793)</f>
        <v>0.4166666667</v>
      </c>
      <c r="F213" s="11" t="str">
        <f>IFERROR(__xludf.DUMMYFUNCTION("""COMPUTED_VALUE"""),"STA281.2")</f>
        <v>STA281.2</v>
      </c>
      <c r="G213" s="11" t="str">
        <f>IFERROR(__xludf.DUMMYFUNCTION("""COMPUTED_VALUE"""),"Statistical Methods &amp; Probability")</f>
        <v>Statistical Methods &amp; Probability</v>
      </c>
      <c r="H213" s="13">
        <f>IFERROR(__xludf.DUMMYFUNCTION("""COMPUTED_VALUE"""),40.0)</f>
        <v>40</v>
      </c>
      <c r="I213" s="11" t="str">
        <f>IFERROR(__xludf.DUMMYFUNCTION("""COMPUTED_VALUE"""),"[MAKR] Dr. Mohammed Ashikur Rahman")</f>
        <v>[MAKR] Dr. Mohammed Ashikur Rahman</v>
      </c>
      <c r="J213" s="13">
        <f t="shared" si="1"/>
        <v>-1</v>
      </c>
    </row>
    <row r="214">
      <c r="A214" s="11" t="str">
        <f>IFERROR(__xludf.DUMMYFUNCTION("""COMPUTED_VALUE"""),"C")</f>
        <v>C</v>
      </c>
      <c r="B214" s="11" t="str">
        <f>IFERROR(__xludf.DUMMYFUNCTION("""COMPUTED_VALUE"""),"Slot - 01")</f>
        <v>Slot - 01</v>
      </c>
      <c r="C214" s="11" t="str">
        <f>IFERROR(__xludf.DUMMYFUNCTION("""COMPUTED_VALUE"""),"12.04.2026")</f>
        <v>12.04.2026</v>
      </c>
      <c r="D214" s="12">
        <f>IFERROR(__xludf.DUMMYFUNCTION("""COMPUTED_VALUE"""),0.3541666666678793)</f>
        <v>0.3541666667</v>
      </c>
      <c r="E214" s="12">
        <f>IFERROR(__xludf.DUMMYFUNCTION("""COMPUTED_VALUE"""),0.4166666666678793)</f>
        <v>0.4166666667</v>
      </c>
      <c r="F214" s="11" t="str">
        <f>IFERROR(__xludf.DUMMYFUNCTION("""COMPUTED_VALUE"""),"MAT1103.4")</f>
        <v>MAT1103.4</v>
      </c>
      <c r="G214" s="11" t="str">
        <f>IFERROR(__xludf.DUMMYFUNCTION("""COMPUTED_VALUE"""),"Differential &amp; Integral Calculus")</f>
        <v>Differential &amp; Integral Calculus</v>
      </c>
      <c r="H214" s="13">
        <f>IFERROR(__xludf.DUMMYFUNCTION("""COMPUTED_VALUE"""),31.0)</f>
        <v>31</v>
      </c>
      <c r="I214" s="11" t="str">
        <f>IFERROR(__xludf.DUMMYFUNCTION("""COMPUTED_VALUE"""),"[MALN] Md Alamin")</f>
        <v>[MALN] Md Alamin</v>
      </c>
      <c r="J214" s="13">
        <f t="shared" si="1"/>
        <v>1</v>
      </c>
    </row>
    <row r="215">
      <c r="A215" s="11" t="str">
        <f>IFERROR(__xludf.DUMMYFUNCTION("""COMPUTED_VALUE"""),"C")</f>
        <v>C</v>
      </c>
      <c r="B215" s="11" t="str">
        <f>IFERROR(__xludf.DUMMYFUNCTION("""COMPUTED_VALUE"""),"Slot - 01")</f>
        <v>Slot - 01</v>
      </c>
      <c r="C215" s="11" t="str">
        <f>IFERROR(__xludf.DUMMYFUNCTION("""COMPUTED_VALUE"""),"12.04.2026")</f>
        <v>12.04.2026</v>
      </c>
      <c r="D215" s="12">
        <f>IFERROR(__xludf.DUMMYFUNCTION("""COMPUTED_VALUE"""),0.3541666666678793)</f>
        <v>0.3541666667</v>
      </c>
      <c r="E215" s="12">
        <f>IFERROR(__xludf.DUMMYFUNCTION("""COMPUTED_VALUE"""),0.4166666666678793)</f>
        <v>0.4166666667</v>
      </c>
      <c r="F215" s="11" t="str">
        <f>IFERROR(__xludf.DUMMYFUNCTION("""COMPUTED_VALUE"""),"MAT1103.8")</f>
        <v>MAT1103.8</v>
      </c>
      <c r="G215" s="11" t="str">
        <f>IFERROR(__xludf.DUMMYFUNCTION("""COMPUTED_VALUE"""),"Differential &amp; Integral Calculus")</f>
        <v>Differential &amp; Integral Calculus</v>
      </c>
      <c r="H215" s="13">
        <f>IFERROR(__xludf.DUMMYFUNCTION("""COMPUTED_VALUE"""),30.0)</f>
        <v>30</v>
      </c>
      <c r="I215" s="11" t="str">
        <f>IFERROR(__xludf.DUMMYFUNCTION("""COMPUTED_VALUE"""),"[MALN] Md Alamin")</f>
        <v>[MALN] Md Alamin</v>
      </c>
      <c r="J215" s="13">
        <f t="shared" si="1"/>
        <v>1</v>
      </c>
    </row>
    <row r="216">
      <c r="A216" s="11" t="str">
        <f>IFERROR(__xludf.DUMMYFUNCTION("""COMPUTED_VALUE"""),"C")</f>
        <v>C</v>
      </c>
      <c r="B216" s="11" t="str">
        <f>IFERROR(__xludf.DUMMYFUNCTION("""COMPUTED_VALUE"""),"Slot - 01")</f>
        <v>Slot - 01</v>
      </c>
      <c r="C216" s="11" t="str">
        <f>IFERROR(__xludf.DUMMYFUNCTION("""COMPUTED_VALUE"""),"12.04.2026")</f>
        <v>12.04.2026</v>
      </c>
      <c r="D216" s="12">
        <f>IFERROR(__xludf.DUMMYFUNCTION("""COMPUTED_VALUE"""),0.3541666666678793)</f>
        <v>0.3541666667</v>
      </c>
      <c r="E216" s="12">
        <f>IFERROR(__xludf.DUMMYFUNCTION("""COMPUTED_VALUE"""),0.4166666666678793)</f>
        <v>0.4166666667</v>
      </c>
      <c r="F216" s="11" t="str">
        <f>IFERROR(__xludf.DUMMYFUNCTION("""COMPUTED_VALUE"""),"MAT1103.10")</f>
        <v>MAT1103.10</v>
      </c>
      <c r="G216" s="11" t="str">
        <f>IFERROR(__xludf.DUMMYFUNCTION("""COMPUTED_VALUE"""),"Differential &amp; Integral Calculus")</f>
        <v>Differential &amp; Integral Calculus</v>
      </c>
      <c r="H216" s="13">
        <f>IFERROR(__xludf.DUMMYFUNCTION("""COMPUTED_VALUE"""),29.0)</f>
        <v>29</v>
      </c>
      <c r="I216" s="11" t="str">
        <f>IFERROR(__xludf.DUMMYFUNCTION("""COMPUTED_VALUE"""),"[MALN] Md Alamin")</f>
        <v>[MALN] Md Alamin</v>
      </c>
      <c r="J216" s="13">
        <f t="shared" si="1"/>
        <v>1</v>
      </c>
    </row>
    <row r="217">
      <c r="A217" s="11" t="str">
        <f>IFERROR(__xludf.DUMMYFUNCTION("""COMPUTED_VALUE"""),"C")</f>
        <v>C</v>
      </c>
      <c r="B217" s="11" t="str">
        <f>IFERROR(__xludf.DUMMYFUNCTION("""COMPUTED_VALUE"""),"Slot - 14")</f>
        <v>Slot - 14</v>
      </c>
      <c r="C217" s="11" t="str">
        <f>IFERROR(__xludf.DUMMYFUNCTION("""COMPUTED_VALUE"""),"18.04.2026")</f>
        <v>18.04.2026</v>
      </c>
      <c r="D217" s="12">
        <f>IFERROR(__xludf.DUMMYFUNCTION("""COMPUTED_VALUE"""),0.4583333333321207)</f>
        <v>0.4583333333</v>
      </c>
      <c r="E217" s="12">
        <f>IFERROR(__xludf.DUMMYFUNCTION("""COMPUTED_VALUE"""),0.5208333333321207)</f>
        <v>0.5208333333</v>
      </c>
      <c r="F217" s="11" t="str">
        <f>IFERROR(__xludf.DUMMYFUNCTION("""COMPUTED_VALUE"""),"MAT261.6")</f>
        <v>MAT261.6</v>
      </c>
      <c r="G217" s="11" t="str">
        <f>IFERROR(__xludf.DUMMYFUNCTION("""COMPUTED_VALUE"""),"Linear Algebra and Matrices")</f>
        <v>Linear Algebra and Matrices</v>
      </c>
      <c r="H217" s="13">
        <f>IFERROR(__xludf.DUMMYFUNCTION("""COMPUTED_VALUE"""),37.0)</f>
        <v>37</v>
      </c>
      <c r="I217" s="11" t="str">
        <f>IFERROR(__xludf.DUMMYFUNCTION("""COMPUTED_VALUE"""),"[MALN] Md Alamin")</f>
        <v>[MALN] Md Alamin</v>
      </c>
      <c r="J217" s="13">
        <f t="shared" si="1"/>
        <v>1</v>
      </c>
    </row>
    <row r="218">
      <c r="A218" s="11" t="str">
        <f>IFERROR(__xludf.DUMMYFUNCTION("""COMPUTED_VALUE"""),"C")</f>
        <v>C</v>
      </c>
      <c r="B218" s="11" t="str">
        <f>IFERROR(__xludf.DUMMYFUNCTION("""COMPUTED_VALUE"""),"Slot - 14")</f>
        <v>Slot - 14</v>
      </c>
      <c r="C218" s="11" t="str">
        <f>IFERROR(__xludf.DUMMYFUNCTION("""COMPUTED_VALUE"""),"18.04.2026")</f>
        <v>18.04.2026</v>
      </c>
      <c r="D218" s="12">
        <f>IFERROR(__xludf.DUMMYFUNCTION("""COMPUTED_VALUE"""),0.4583333333321207)</f>
        <v>0.4583333333</v>
      </c>
      <c r="E218" s="12">
        <f>IFERROR(__xludf.DUMMYFUNCTION("""COMPUTED_VALUE"""),0.5208333333321207)</f>
        <v>0.5208333333</v>
      </c>
      <c r="F218" s="11" t="str">
        <f>IFERROR(__xludf.DUMMYFUNCTION("""COMPUTED_VALUE"""),"MAT261.7")</f>
        <v>MAT261.7</v>
      </c>
      <c r="G218" s="11" t="str">
        <f>IFERROR(__xludf.DUMMYFUNCTION("""COMPUTED_VALUE"""),"Linear Algebra and Matrices")</f>
        <v>Linear Algebra and Matrices</v>
      </c>
      <c r="H218" s="13">
        <f>IFERROR(__xludf.DUMMYFUNCTION("""COMPUTED_VALUE"""),37.0)</f>
        <v>37</v>
      </c>
      <c r="I218" s="11" t="str">
        <f>IFERROR(__xludf.DUMMYFUNCTION("""COMPUTED_VALUE"""),"[MALN] Md Alamin")</f>
        <v>[MALN] Md Alamin</v>
      </c>
      <c r="J218" s="13">
        <f t="shared" si="1"/>
        <v>1</v>
      </c>
    </row>
    <row r="219">
      <c r="A219" s="11" t="str">
        <f>IFERROR(__xludf.DUMMYFUNCTION("""COMPUTED_VALUE"""),"C")</f>
        <v>C</v>
      </c>
      <c r="B219" s="11" t="str">
        <f>IFERROR(__xludf.DUMMYFUNCTION("""COMPUTED_VALUE"""),"Slot - 18")</f>
        <v>Slot - 18</v>
      </c>
      <c r="C219" s="11" t="str">
        <f>IFERROR(__xludf.DUMMYFUNCTION("""COMPUTED_VALUE"""),"19.04.2026")</f>
        <v>19.04.2026</v>
      </c>
      <c r="D219" s="12">
        <f>IFERROR(__xludf.DUMMYFUNCTION("""COMPUTED_VALUE"""),0.6041666666678793)</f>
        <v>0.6041666667</v>
      </c>
      <c r="E219" s="12">
        <f>IFERROR(__xludf.DUMMYFUNCTION("""COMPUTED_VALUE"""),0.6666666666678793)</f>
        <v>0.6666666667</v>
      </c>
      <c r="F219" s="11" t="str">
        <f>IFERROR(__xludf.DUMMYFUNCTION("""COMPUTED_VALUE"""),"EEE241.4")</f>
        <v>EEE241.4</v>
      </c>
      <c r="G219" s="11" t="str">
        <f>IFERROR(__xludf.DUMMYFUNCTION("""COMPUTED_VALUE"""),"Electronic Devices &amp; Circuits I")</f>
        <v>Electronic Devices &amp; Circuits I</v>
      </c>
      <c r="H219" s="13">
        <f>IFERROR(__xludf.DUMMYFUNCTION("""COMPUTED_VALUE"""),39.0)</f>
        <v>39</v>
      </c>
      <c r="I219" s="11" t="str">
        <f>IFERROR(__xludf.DUMMYFUNCTION("""COMPUTED_VALUE"""),"[MAMA] Mayukh Mallick")</f>
        <v>[MAMA] Mayukh Mallick</v>
      </c>
      <c r="J219" s="13">
        <f t="shared" si="1"/>
        <v>-1</v>
      </c>
    </row>
    <row r="220">
      <c r="A220" s="11" t="str">
        <f>IFERROR(__xludf.DUMMYFUNCTION("""COMPUTED_VALUE"""),"C")</f>
        <v>C</v>
      </c>
      <c r="B220" s="11" t="str">
        <f>IFERROR(__xludf.DUMMYFUNCTION("""COMPUTED_VALUE"""),"Slot - 18")</f>
        <v>Slot - 18</v>
      </c>
      <c r="C220" s="11" t="str">
        <f>IFERROR(__xludf.DUMMYFUNCTION("""COMPUTED_VALUE"""),"19.04.2026")</f>
        <v>19.04.2026</v>
      </c>
      <c r="D220" s="12">
        <f>IFERROR(__xludf.DUMMYFUNCTION("""COMPUTED_VALUE"""),0.6041666666678793)</f>
        <v>0.6041666667</v>
      </c>
      <c r="E220" s="12">
        <f>IFERROR(__xludf.DUMMYFUNCTION("""COMPUTED_VALUE"""),0.6666666666678793)</f>
        <v>0.6666666667</v>
      </c>
      <c r="F220" s="11" t="str">
        <f>IFERROR(__xludf.DUMMYFUNCTION("""COMPUTED_VALUE"""),"EEE241.5")</f>
        <v>EEE241.5</v>
      </c>
      <c r="G220" s="11" t="str">
        <f>IFERROR(__xludf.DUMMYFUNCTION("""COMPUTED_VALUE"""),"Electronic Devices &amp; Circuits I")</f>
        <v>Electronic Devices &amp; Circuits I</v>
      </c>
      <c r="H220" s="13">
        <f>IFERROR(__xludf.DUMMYFUNCTION("""COMPUTED_VALUE"""),39.0)</f>
        <v>39</v>
      </c>
      <c r="I220" s="11" t="str">
        <f>IFERROR(__xludf.DUMMYFUNCTION("""COMPUTED_VALUE"""),"[MAMA] Mayukh Mallick")</f>
        <v>[MAMA] Mayukh Mallick</v>
      </c>
      <c r="J220" s="13">
        <f t="shared" si="1"/>
        <v>-1</v>
      </c>
    </row>
    <row r="221">
      <c r="A221" s="11" t="str">
        <f>IFERROR(__xludf.DUMMYFUNCTION("""COMPUTED_VALUE"""),"C")</f>
        <v>C</v>
      </c>
      <c r="B221" s="11" t="str">
        <f>IFERROR(__xludf.DUMMYFUNCTION("""COMPUTED_VALUE"""),"Slot - 02")</f>
        <v>Slot - 02</v>
      </c>
      <c r="C221" s="11" t="str">
        <f>IFERROR(__xludf.DUMMYFUNCTION("""COMPUTED_VALUE"""),"12.04.2026")</f>
        <v>12.04.2026</v>
      </c>
      <c r="D221" s="12">
        <f>IFERROR(__xludf.DUMMYFUNCTION("""COMPUTED_VALUE"""),0.4791666666678793)</f>
        <v>0.4791666667</v>
      </c>
      <c r="E221" s="12">
        <f>IFERROR(__xludf.DUMMYFUNCTION("""COMPUTED_VALUE"""),0.5416666666678793)</f>
        <v>0.5416666667</v>
      </c>
      <c r="F221" s="11" t="str">
        <f>IFERROR(__xludf.DUMMYFUNCTION("""COMPUTED_VALUE"""),"CSE241.6")</f>
        <v>CSE241.6</v>
      </c>
      <c r="G221" s="11" t="str">
        <f>IFERROR(__xludf.DUMMYFUNCTION("""COMPUTED_VALUE"""),"Data Structures")</f>
        <v>Data Structures</v>
      </c>
      <c r="H221" s="13">
        <f>IFERROR(__xludf.DUMMYFUNCTION("""COMPUTED_VALUE"""),19.0)</f>
        <v>19</v>
      </c>
      <c r="I221" s="11" t="str">
        <f>IFERROR(__xludf.DUMMYFUNCTION("""COMPUTED_VALUE"""),"[MAQ] Mohammad Ariful Huq")</f>
        <v>[MAQ] Mohammad Ariful Huq</v>
      </c>
      <c r="J221" s="13">
        <f t="shared" si="1"/>
        <v>1</v>
      </c>
    </row>
    <row r="222">
      <c r="A222" s="11" t="str">
        <f>IFERROR(__xludf.DUMMYFUNCTION("""COMPUTED_VALUE"""),"C")</f>
        <v>C</v>
      </c>
      <c r="B222" s="11" t="str">
        <f>IFERROR(__xludf.DUMMYFUNCTION("""COMPUTED_VALUE"""),"Slot - 06")</f>
        <v>Slot - 06</v>
      </c>
      <c r="C222" s="11" t="str">
        <f>IFERROR(__xludf.DUMMYFUNCTION("""COMPUTED_VALUE"""),"13.04.2026")</f>
        <v>13.04.2026</v>
      </c>
      <c r="D222" s="12">
        <f>IFERROR(__xludf.DUMMYFUNCTION("""COMPUTED_VALUE"""),0.6041666666678793)</f>
        <v>0.6041666667</v>
      </c>
      <c r="E222" s="12">
        <f>IFERROR(__xludf.DUMMYFUNCTION("""COMPUTED_VALUE"""),0.6666666666678793)</f>
        <v>0.6666666667</v>
      </c>
      <c r="F222" s="11" t="str">
        <f>IFERROR(__xludf.DUMMYFUNCTION("""COMPUTED_VALUE"""),"CSE2021.1")</f>
        <v>CSE2021.1</v>
      </c>
      <c r="G222" s="11" t="str">
        <f>IFERROR(__xludf.DUMMYFUNCTION("""COMPUTED_VALUE"""),"Algorithm")</f>
        <v>Algorithm</v>
      </c>
      <c r="H222" s="13">
        <f>IFERROR(__xludf.DUMMYFUNCTION("""COMPUTED_VALUE"""),1.0)</f>
        <v>1</v>
      </c>
      <c r="I222" s="11" t="str">
        <f>IFERROR(__xludf.DUMMYFUNCTION("""COMPUTED_VALUE"""),"[MAQ] Mohammad Ariful Huq")</f>
        <v>[MAQ] Mohammad Ariful Huq</v>
      </c>
      <c r="J222" s="13">
        <f t="shared" si="1"/>
        <v>1</v>
      </c>
    </row>
    <row r="223">
      <c r="A223" s="11" t="str">
        <f>IFERROR(__xludf.DUMMYFUNCTION("""COMPUTED_VALUE"""),"C")</f>
        <v>C</v>
      </c>
      <c r="B223" s="11" t="str">
        <f>IFERROR(__xludf.DUMMYFUNCTION("""COMPUTED_VALUE"""),"Slot - 06")</f>
        <v>Slot - 06</v>
      </c>
      <c r="C223" s="11" t="str">
        <f>IFERROR(__xludf.DUMMYFUNCTION("""COMPUTED_VALUE"""),"13.04.2026")</f>
        <v>13.04.2026</v>
      </c>
      <c r="D223" s="12">
        <f>IFERROR(__xludf.DUMMYFUNCTION("""COMPUTED_VALUE"""),0.6041666666678793)</f>
        <v>0.6041666667</v>
      </c>
      <c r="E223" s="12">
        <f>IFERROR(__xludf.DUMMYFUNCTION("""COMPUTED_VALUE"""),0.6666666666678793)</f>
        <v>0.6666666667</v>
      </c>
      <c r="F223" s="11" t="str">
        <f>IFERROR(__xludf.DUMMYFUNCTION("""COMPUTED_VALUE"""),"CSE265.4")</f>
        <v>CSE265.4</v>
      </c>
      <c r="G223" s="11" t="str">
        <f>IFERROR(__xludf.DUMMYFUNCTION("""COMPUTED_VALUE"""),"Algorithm")</f>
        <v>Algorithm</v>
      </c>
      <c r="H223" s="13">
        <f>IFERROR(__xludf.DUMMYFUNCTION("""COMPUTED_VALUE"""),34.0)</f>
        <v>34</v>
      </c>
      <c r="I223" s="11" t="str">
        <f>IFERROR(__xludf.DUMMYFUNCTION("""COMPUTED_VALUE"""),"[MAQ] Mohammad Ariful Huq")</f>
        <v>[MAQ] Mohammad Ariful Huq</v>
      </c>
      <c r="J223" s="13">
        <f t="shared" si="1"/>
        <v>1</v>
      </c>
    </row>
    <row r="224">
      <c r="A224" s="11" t="str">
        <f>IFERROR(__xludf.DUMMYFUNCTION("""COMPUTED_VALUE"""),"C")</f>
        <v>C</v>
      </c>
      <c r="B224" s="11" t="str">
        <f>IFERROR(__xludf.DUMMYFUNCTION("""COMPUTED_VALUE"""),"Slot - 06")</f>
        <v>Slot - 06</v>
      </c>
      <c r="C224" s="11" t="str">
        <f>IFERROR(__xludf.DUMMYFUNCTION("""COMPUTED_VALUE"""),"13.04.2026")</f>
        <v>13.04.2026</v>
      </c>
      <c r="D224" s="12">
        <f>IFERROR(__xludf.DUMMYFUNCTION("""COMPUTED_VALUE"""),0.6041666666678793)</f>
        <v>0.6041666667</v>
      </c>
      <c r="E224" s="12">
        <f>IFERROR(__xludf.DUMMYFUNCTION("""COMPUTED_VALUE"""),0.6666666666678793)</f>
        <v>0.6666666667</v>
      </c>
      <c r="F224" s="11" t="str">
        <f>IFERROR(__xludf.DUMMYFUNCTION("""COMPUTED_VALUE"""),"CSE265.5")</f>
        <v>CSE265.5</v>
      </c>
      <c r="G224" s="11" t="str">
        <f>IFERROR(__xludf.DUMMYFUNCTION("""COMPUTED_VALUE"""),"Algorithm")</f>
        <v>Algorithm</v>
      </c>
      <c r="H224" s="13">
        <f>IFERROR(__xludf.DUMMYFUNCTION("""COMPUTED_VALUE"""),22.0)</f>
        <v>22</v>
      </c>
      <c r="I224" s="11" t="str">
        <f>IFERROR(__xludf.DUMMYFUNCTION("""COMPUTED_VALUE"""),"[MAQ] Mohammad Ariful Huq")</f>
        <v>[MAQ] Mohammad Ariful Huq</v>
      </c>
      <c r="J224" s="13">
        <f t="shared" si="1"/>
        <v>1</v>
      </c>
    </row>
    <row r="225">
      <c r="A225" s="11" t="str">
        <f>IFERROR(__xludf.DUMMYFUNCTION("""COMPUTED_VALUE"""),"C")</f>
        <v>C</v>
      </c>
      <c r="B225" s="11" t="str">
        <f>IFERROR(__xludf.DUMMYFUNCTION("""COMPUTED_VALUE"""),"Slot - 08")</f>
        <v>Slot - 08</v>
      </c>
      <c r="C225" s="11" t="str">
        <f>IFERROR(__xludf.DUMMYFUNCTION("""COMPUTED_VALUE"""),"15.04.2026")</f>
        <v>15.04.2026</v>
      </c>
      <c r="D225" s="12">
        <f>IFERROR(__xludf.DUMMYFUNCTION("""COMPUTED_VALUE"""),0.4791666666678793)</f>
        <v>0.4791666667</v>
      </c>
      <c r="E225" s="12">
        <f>IFERROR(__xludf.DUMMYFUNCTION("""COMPUTED_VALUE"""),0.5416666666678793)</f>
        <v>0.5416666667</v>
      </c>
      <c r="F225" s="11" t="str">
        <f>IFERROR(__xludf.DUMMYFUNCTION("""COMPUTED_VALUE"""),"MAT1103.9")</f>
        <v>MAT1103.9</v>
      </c>
      <c r="G225" s="11" t="str">
        <f>IFERROR(__xludf.DUMMYFUNCTION("""COMPUTED_VALUE"""),"Differential &amp; Integral Calculus")</f>
        <v>Differential &amp; Integral Calculus</v>
      </c>
      <c r="H225" s="13">
        <f>IFERROR(__xludf.DUMMYFUNCTION("""COMPUTED_VALUE"""),30.0)</f>
        <v>30</v>
      </c>
      <c r="I225" s="11" t="str">
        <f>IFERROR(__xludf.DUMMYFUNCTION("""COMPUTED_VALUE"""),"[MAR] Md. Anowar Hossain")</f>
        <v>[MAR] Md. Anowar Hossain</v>
      </c>
      <c r="J225" s="13">
        <f t="shared" si="1"/>
        <v>-1</v>
      </c>
    </row>
    <row r="226">
      <c r="A226" s="11" t="str">
        <f>IFERROR(__xludf.DUMMYFUNCTION("""COMPUTED_VALUE"""),"C")</f>
        <v>C</v>
      </c>
      <c r="B226" s="11" t="str">
        <f>IFERROR(__xludf.DUMMYFUNCTION("""COMPUTED_VALUE"""),"Slot - 17")</f>
        <v>Slot - 17</v>
      </c>
      <c r="C226" s="11" t="str">
        <f>IFERROR(__xludf.DUMMYFUNCTION("""COMPUTED_VALUE"""),"19.04.2026")</f>
        <v>19.04.2026</v>
      </c>
      <c r="D226" s="12">
        <f>IFERROR(__xludf.DUMMYFUNCTION("""COMPUTED_VALUE"""),0.4791666666678793)</f>
        <v>0.4791666667</v>
      </c>
      <c r="E226" s="12">
        <f>IFERROR(__xludf.DUMMYFUNCTION("""COMPUTED_VALUE"""),0.5416666666678793)</f>
        <v>0.5416666667</v>
      </c>
      <c r="F226" s="11" t="str">
        <f>IFERROR(__xludf.DUMMYFUNCTION("""COMPUTED_VALUE"""),"MAT161.1")</f>
        <v>MAT161.1</v>
      </c>
      <c r="G226" s="11" t="str">
        <f>IFERROR(__xludf.DUMMYFUNCTION("""COMPUTED_VALUE"""),"Coordinate Geometry and Vector Analysis")</f>
        <v>Coordinate Geometry and Vector Analysis</v>
      </c>
      <c r="H226" s="13">
        <f>IFERROR(__xludf.DUMMYFUNCTION("""COMPUTED_VALUE"""),41.0)</f>
        <v>41</v>
      </c>
      <c r="I226" s="11" t="str">
        <f>IFERROR(__xludf.DUMMYFUNCTION("""COMPUTED_VALUE"""),"[MAR] Md. Anowar Hossain")</f>
        <v>[MAR] Md. Anowar Hossain</v>
      </c>
      <c r="J226" s="13">
        <f t="shared" si="1"/>
        <v>-1</v>
      </c>
    </row>
    <row r="227">
      <c r="A227" s="11" t="str">
        <f>IFERROR(__xludf.DUMMYFUNCTION("""COMPUTED_VALUE"""),"C")</f>
        <v>C</v>
      </c>
      <c r="B227" s="11" t="str">
        <f>IFERROR(__xludf.DUMMYFUNCTION("""COMPUTED_VALUE"""),"Slot - 10")</f>
        <v>Slot - 10</v>
      </c>
      <c r="C227" s="11" t="str">
        <f>IFERROR(__xludf.DUMMYFUNCTION("""COMPUTED_VALUE"""),"16.04.2026")</f>
        <v>16.04.2026</v>
      </c>
      <c r="D227" s="12">
        <f>IFERROR(__xludf.DUMMYFUNCTION("""COMPUTED_VALUE"""),0.3541666666678793)</f>
        <v>0.3541666667</v>
      </c>
      <c r="E227" s="12">
        <f>IFERROR(__xludf.DUMMYFUNCTION("""COMPUTED_VALUE"""),0.4166666666678793)</f>
        <v>0.4166666667</v>
      </c>
      <c r="F227" s="11" t="str">
        <f>IFERROR(__xludf.DUMMYFUNCTION("""COMPUTED_VALUE"""),"MGT281.1")</f>
        <v>MGT281.1</v>
      </c>
      <c r="G227" s="11" t="str">
        <f>IFERROR(__xludf.DUMMYFUNCTION("""COMPUTED_VALUE"""),"Introduction to Business &amp; Management")</f>
        <v>Introduction to Business &amp; Management</v>
      </c>
      <c r="H227" s="13">
        <f>IFERROR(__xludf.DUMMYFUNCTION("""COMPUTED_VALUE"""),40.0)</f>
        <v>40</v>
      </c>
      <c r="I227" s="11" t="str">
        <f>IFERROR(__xludf.DUMMYFUNCTION("""COMPUTED_VALUE"""),"[MASA] Md. Ashraful Alam")</f>
        <v>[MASA] Md. Ashraful Alam</v>
      </c>
      <c r="J227" s="13">
        <f t="shared" si="1"/>
        <v>1</v>
      </c>
    </row>
    <row r="228">
      <c r="A228" s="11" t="str">
        <f>IFERROR(__xludf.DUMMYFUNCTION("""COMPUTED_VALUE"""),"C")</f>
        <v>C</v>
      </c>
      <c r="B228" s="11" t="str">
        <f>IFERROR(__xludf.DUMMYFUNCTION("""COMPUTED_VALUE"""),"Slot - 13")</f>
        <v>Slot - 13</v>
      </c>
      <c r="C228" s="11" t="str">
        <f>IFERROR(__xludf.DUMMYFUNCTION("""COMPUTED_VALUE"""),"18.04.2026")</f>
        <v>18.04.2026</v>
      </c>
      <c r="D228" s="12">
        <f>IFERROR(__xludf.DUMMYFUNCTION("""COMPUTED_VALUE"""),0.3541666666678793)</f>
        <v>0.3541666667</v>
      </c>
      <c r="E228" s="12">
        <f>IFERROR(__xludf.DUMMYFUNCTION("""COMPUTED_VALUE"""),0.4166666666678793)</f>
        <v>0.4166666667</v>
      </c>
      <c r="F228" s="11" t="str">
        <f>IFERROR(__xludf.DUMMYFUNCTION("""COMPUTED_VALUE"""),"SOC2031.1")</f>
        <v>SOC2031.1</v>
      </c>
      <c r="G228" s="11" t="str">
        <f>IFERROR(__xludf.DUMMYFUNCTION("""COMPUTED_VALUE"""),"Engineering Ethics")</f>
        <v>Engineering Ethics</v>
      </c>
      <c r="H228" s="13">
        <f>IFERROR(__xludf.DUMMYFUNCTION("""COMPUTED_VALUE"""),1.0)</f>
        <v>1</v>
      </c>
      <c r="I228" s="11" t="str">
        <f>IFERROR(__xludf.DUMMYFUNCTION("""COMPUTED_VALUE"""),"[MBH] Mahbubul Haq Bhuiyan")</f>
        <v>[MBH] Mahbubul Haq Bhuiyan</v>
      </c>
      <c r="J228" s="13">
        <f t="shared" si="1"/>
        <v>-1</v>
      </c>
    </row>
    <row r="229">
      <c r="A229" s="11" t="str">
        <f>IFERROR(__xludf.DUMMYFUNCTION("""COMPUTED_VALUE"""),"C")</f>
        <v>C</v>
      </c>
      <c r="B229" s="11" t="str">
        <f>IFERROR(__xludf.DUMMYFUNCTION("""COMPUTED_VALUE"""),"Slot - 13")</f>
        <v>Slot - 13</v>
      </c>
      <c r="C229" s="11" t="str">
        <f>IFERROR(__xludf.DUMMYFUNCTION("""COMPUTED_VALUE"""),"18.04.2026")</f>
        <v>18.04.2026</v>
      </c>
      <c r="D229" s="12">
        <f>IFERROR(__xludf.DUMMYFUNCTION("""COMPUTED_VALUE"""),0.3541666666678793)</f>
        <v>0.3541666667</v>
      </c>
      <c r="E229" s="12">
        <f>IFERROR(__xludf.DUMMYFUNCTION("""COMPUTED_VALUE"""),0.4166666666678793)</f>
        <v>0.4166666667</v>
      </c>
      <c r="F229" s="11" t="str">
        <f>IFERROR(__xludf.DUMMYFUNCTION("""COMPUTED_VALUE"""),"SOC341.4")</f>
        <v>SOC341.4</v>
      </c>
      <c r="G229" s="11" t="str">
        <f>IFERROR(__xludf.DUMMYFUNCTION("""COMPUTED_VALUE"""),"Engineering Ethics")</f>
        <v>Engineering Ethics</v>
      </c>
      <c r="H229" s="13">
        <f>IFERROR(__xludf.DUMMYFUNCTION("""COMPUTED_VALUE"""),41.0)</f>
        <v>41</v>
      </c>
      <c r="I229" s="11" t="str">
        <f>IFERROR(__xludf.DUMMYFUNCTION("""COMPUTED_VALUE"""),"[MBH] Mahbubul Haq Bhuiyan")</f>
        <v>[MBH] Mahbubul Haq Bhuiyan</v>
      </c>
      <c r="J229" s="13">
        <f t="shared" si="1"/>
        <v>-1</v>
      </c>
    </row>
    <row r="230">
      <c r="A230" s="11" t="str">
        <f>IFERROR(__xludf.DUMMYFUNCTION("""COMPUTED_VALUE"""),"C")</f>
        <v>C</v>
      </c>
      <c r="B230" s="11" t="str">
        <f>IFERROR(__xludf.DUMMYFUNCTION("""COMPUTED_VALUE"""),"Slot - 13")</f>
        <v>Slot - 13</v>
      </c>
      <c r="C230" s="11" t="str">
        <f>IFERROR(__xludf.DUMMYFUNCTION("""COMPUTED_VALUE"""),"18.04.2026")</f>
        <v>18.04.2026</v>
      </c>
      <c r="D230" s="12">
        <f>IFERROR(__xludf.DUMMYFUNCTION("""COMPUTED_VALUE"""),0.3541666666678793)</f>
        <v>0.3541666667</v>
      </c>
      <c r="E230" s="12">
        <f>IFERROR(__xludf.DUMMYFUNCTION("""COMPUTED_VALUE"""),0.4166666666678793)</f>
        <v>0.4166666667</v>
      </c>
      <c r="F230" s="11" t="str">
        <f>IFERROR(__xludf.DUMMYFUNCTION("""COMPUTED_VALUE"""),"SOC341.5")</f>
        <v>SOC341.5</v>
      </c>
      <c r="G230" s="11" t="str">
        <f>IFERROR(__xludf.DUMMYFUNCTION("""COMPUTED_VALUE"""),"Engineering Ethics")</f>
        <v>Engineering Ethics</v>
      </c>
      <c r="H230" s="13">
        <f>IFERROR(__xludf.DUMMYFUNCTION("""COMPUTED_VALUE"""),42.0)</f>
        <v>42</v>
      </c>
      <c r="I230" s="11" t="str">
        <f>IFERROR(__xludf.DUMMYFUNCTION("""COMPUTED_VALUE"""),"[MBH] Mahbubul Haq Bhuiyan")</f>
        <v>[MBH] Mahbubul Haq Bhuiyan</v>
      </c>
      <c r="J230" s="13">
        <f t="shared" si="1"/>
        <v>-1</v>
      </c>
    </row>
    <row r="231">
      <c r="A231" s="11" t="str">
        <f>IFERROR(__xludf.DUMMYFUNCTION("""COMPUTED_VALUE"""),"C")</f>
        <v>C</v>
      </c>
      <c r="B231" s="11" t="str">
        <f>IFERROR(__xludf.DUMMYFUNCTION("""COMPUTED_VALUE"""),"Slot - 13")</f>
        <v>Slot - 13</v>
      </c>
      <c r="C231" s="11" t="str">
        <f>IFERROR(__xludf.DUMMYFUNCTION("""COMPUTED_VALUE"""),"18.04.2026")</f>
        <v>18.04.2026</v>
      </c>
      <c r="D231" s="12">
        <f>IFERROR(__xludf.DUMMYFUNCTION("""COMPUTED_VALUE"""),0.3541666666678793)</f>
        <v>0.3541666667</v>
      </c>
      <c r="E231" s="12">
        <f>IFERROR(__xludf.DUMMYFUNCTION("""COMPUTED_VALUE"""),0.4166666666678793)</f>
        <v>0.4166666667</v>
      </c>
      <c r="F231" s="11" t="str">
        <f>IFERROR(__xludf.DUMMYFUNCTION("""COMPUTED_VALUE"""),"SOC341.7")</f>
        <v>SOC341.7</v>
      </c>
      <c r="G231" s="11" t="str">
        <f>IFERROR(__xludf.DUMMYFUNCTION("""COMPUTED_VALUE"""),"Engineering Ethics")</f>
        <v>Engineering Ethics</v>
      </c>
      <c r="H231" s="13">
        <f>IFERROR(__xludf.DUMMYFUNCTION("""COMPUTED_VALUE"""),42.0)</f>
        <v>42</v>
      </c>
      <c r="I231" s="11" t="str">
        <f>IFERROR(__xludf.DUMMYFUNCTION("""COMPUTED_VALUE"""),"[MBH] Mahbubul Haq Bhuiyan")</f>
        <v>[MBH] Mahbubul Haq Bhuiyan</v>
      </c>
      <c r="J231" s="13">
        <f t="shared" si="1"/>
        <v>-1</v>
      </c>
    </row>
    <row r="232">
      <c r="A232" s="11" t="str">
        <f>IFERROR(__xludf.DUMMYFUNCTION("""COMPUTED_VALUE"""),"C")</f>
        <v>C</v>
      </c>
      <c r="B232" s="11" t="str">
        <f>IFERROR(__xludf.DUMMYFUNCTION("""COMPUTED_VALUE"""),"Slot - 18")</f>
        <v>Slot - 18</v>
      </c>
      <c r="C232" s="11" t="str">
        <f>IFERROR(__xludf.DUMMYFUNCTION("""COMPUTED_VALUE"""),"19.04.2026")</f>
        <v>19.04.2026</v>
      </c>
      <c r="D232" s="12">
        <f>IFERROR(__xludf.DUMMYFUNCTION("""COMPUTED_VALUE"""),0.6041666666678793)</f>
        <v>0.6041666667</v>
      </c>
      <c r="E232" s="12">
        <f>IFERROR(__xludf.DUMMYFUNCTION("""COMPUTED_VALUE"""),0.6666666666678793)</f>
        <v>0.6666666667</v>
      </c>
      <c r="F232" s="11" t="str">
        <f>IFERROR(__xludf.DUMMYFUNCTION("""COMPUTED_VALUE"""),"CSE365.9")</f>
        <v>CSE365.9</v>
      </c>
      <c r="G232" s="11" t="str">
        <f>IFERROR(__xludf.DUMMYFUNCTION("""COMPUTED_VALUE"""),"Artificial Intelligence")</f>
        <v>Artificial Intelligence</v>
      </c>
      <c r="H232" s="13">
        <f>IFERROR(__xludf.DUMMYFUNCTION("""COMPUTED_VALUE"""),39.0)</f>
        <v>39</v>
      </c>
      <c r="I232" s="11" t="str">
        <f>IFERROR(__xludf.DUMMYFUNCTION("""COMPUTED_VALUE"""),"[MBH] Mahbubul Haq Bhuiyan")</f>
        <v>[MBH] Mahbubul Haq Bhuiyan</v>
      </c>
      <c r="J232" s="13">
        <f t="shared" si="1"/>
        <v>-1</v>
      </c>
    </row>
    <row r="233">
      <c r="A233" s="11" t="str">
        <f>IFERROR(__xludf.DUMMYFUNCTION("""COMPUTED_VALUE"""),"C")</f>
        <v>C</v>
      </c>
      <c r="B233" s="11" t="str">
        <f>IFERROR(__xludf.DUMMYFUNCTION("""COMPUTED_VALUE"""),"Slot - 18")</f>
        <v>Slot - 18</v>
      </c>
      <c r="C233" s="11" t="str">
        <f>IFERROR(__xludf.DUMMYFUNCTION("""COMPUTED_VALUE"""),"19.04.2026")</f>
        <v>19.04.2026</v>
      </c>
      <c r="D233" s="12">
        <f>IFERROR(__xludf.DUMMYFUNCTION("""COMPUTED_VALUE"""),0.6041666666678793)</f>
        <v>0.6041666667</v>
      </c>
      <c r="E233" s="12">
        <f>IFERROR(__xludf.DUMMYFUNCTION("""COMPUTED_VALUE"""),0.6666666666678793)</f>
        <v>0.6666666667</v>
      </c>
      <c r="F233" s="11" t="str">
        <f>IFERROR(__xludf.DUMMYFUNCTION("""COMPUTED_VALUE"""),"CSE365.10")</f>
        <v>CSE365.10</v>
      </c>
      <c r="G233" s="11" t="str">
        <f>IFERROR(__xludf.DUMMYFUNCTION("""COMPUTED_VALUE"""),"Artificial Intelligence")</f>
        <v>Artificial Intelligence</v>
      </c>
      <c r="H233" s="13">
        <f>IFERROR(__xludf.DUMMYFUNCTION("""COMPUTED_VALUE"""),42.0)</f>
        <v>42</v>
      </c>
      <c r="I233" s="11" t="str">
        <f>IFERROR(__xludf.DUMMYFUNCTION("""COMPUTED_VALUE"""),"[MBH] Mahbubul Haq Bhuiyan")</f>
        <v>[MBH] Mahbubul Haq Bhuiyan</v>
      </c>
      <c r="J233" s="13">
        <f t="shared" si="1"/>
        <v>-1</v>
      </c>
    </row>
    <row r="234">
      <c r="A234" s="11" t="str">
        <f>IFERROR(__xludf.DUMMYFUNCTION("""COMPUTED_VALUE"""),"C")</f>
        <v>C</v>
      </c>
      <c r="B234" s="11" t="str">
        <f>IFERROR(__xludf.DUMMYFUNCTION("""COMPUTED_VALUE"""),"Slot - 17")</f>
        <v>Slot - 17</v>
      </c>
      <c r="C234" s="11" t="str">
        <f>IFERROR(__xludf.DUMMYFUNCTION("""COMPUTED_VALUE"""),"19.04.2026")</f>
        <v>19.04.2026</v>
      </c>
      <c r="D234" s="12">
        <f>IFERROR(__xludf.DUMMYFUNCTION("""COMPUTED_VALUE"""),0.4791666666678793)</f>
        <v>0.4791666667</v>
      </c>
      <c r="E234" s="12">
        <f>IFERROR(__xludf.DUMMYFUNCTION("""COMPUTED_VALUE"""),0.5416666666678793)</f>
        <v>0.5416666667</v>
      </c>
      <c r="F234" s="11" t="str">
        <f>IFERROR(__xludf.DUMMYFUNCTION("""COMPUTED_VALUE"""),"CSE375.3")</f>
        <v>CSE375.3</v>
      </c>
      <c r="G234" s="11" t="str">
        <f>IFERROR(__xludf.DUMMYFUNCTION("""COMPUTED_VALUE"""),"Advanced Algorithm")</f>
        <v>Advanced Algorithm</v>
      </c>
      <c r="H234" s="13">
        <f>IFERROR(__xludf.DUMMYFUNCTION("""COMPUTED_VALUE"""),40.0)</f>
        <v>40</v>
      </c>
      <c r="I234" s="11" t="str">
        <f>IFERROR(__xludf.DUMMYFUNCTION("""COMPUTED_VALUE"""),"[MDAM] Md. A. M. Reza Khan")</f>
        <v>[MDAM] Md. A. M. Reza Khan</v>
      </c>
      <c r="J234" s="13">
        <f t="shared" si="1"/>
        <v>1</v>
      </c>
    </row>
    <row r="235">
      <c r="A235" s="11" t="str">
        <f>IFERROR(__xludf.DUMMYFUNCTION("""COMPUTED_VALUE"""),"C")</f>
        <v>C</v>
      </c>
      <c r="B235" s="11" t="str">
        <f>IFERROR(__xludf.DUMMYFUNCTION("""COMPUTED_VALUE"""),"Slot - 05")</f>
        <v>Slot - 05</v>
      </c>
      <c r="C235" s="11" t="str">
        <f>IFERROR(__xludf.DUMMYFUNCTION("""COMPUTED_VALUE"""),"13.04.2026")</f>
        <v>13.04.2026</v>
      </c>
      <c r="D235" s="12">
        <f>IFERROR(__xludf.DUMMYFUNCTION("""COMPUTED_VALUE"""),0.4791666666678793)</f>
        <v>0.4791666667</v>
      </c>
      <c r="E235" s="12">
        <f>IFERROR(__xludf.DUMMYFUNCTION("""COMPUTED_VALUE"""),0.5416666666678793)</f>
        <v>0.5416666667</v>
      </c>
      <c r="F235" s="11" t="str">
        <f>IFERROR(__xludf.DUMMYFUNCTION("""COMPUTED_VALUE"""),"CSE2015.1")</f>
        <v>CSE2015.1</v>
      </c>
      <c r="G235" s="11" t="str">
        <f>IFERROR(__xludf.DUMMYFUNCTION("""COMPUTED_VALUE"""),"Programming Language II(Java)")</f>
        <v>Programming Language II(Java)</v>
      </c>
      <c r="H235" s="13">
        <f>IFERROR(__xludf.DUMMYFUNCTION("""COMPUTED_VALUE"""),1.0)</f>
        <v>1</v>
      </c>
      <c r="I235" s="11" t="str">
        <f>IFERROR(__xludf.DUMMYFUNCTION("""COMPUTED_VALUE"""),"[MDAY] Md. Ayon Mia")</f>
        <v>[MDAY] Md. Ayon Mia</v>
      </c>
      <c r="J235" s="13">
        <f t="shared" si="1"/>
        <v>-1</v>
      </c>
    </row>
    <row r="236">
      <c r="A236" s="11" t="str">
        <f>IFERROR(__xludf.DUMMYFUNCTION("""COMPUTED_VALUE"""),"C")</f>
        <v>C</v>
      </c>
      <c r="B236" s="11" t="str">
        <f>IFERROR(__xludf.DUMMYFUNCTION("""COMPUTED_VALUE"""),"Slot - 05")</f>
        <v>Slot - 05</v>
      </c>
      <c r="C236" s="11" t="str">
        <f>IFERROR(__xludf.DUMMYFUNCTION("""COMPUTED_VALUE"""),"13.04.2026")</f>
        <v>13.04.2026</v>
      </c>
      <c r="D236" s="12">
        <f>IFERROR(__xludf.DUMMYFUNCTION("""COMPUTED_VALUE"""),0.4791666666678793)</f>
        <v>0.4791666667</v>
      </c>
      <c r="E236" s="12">
        <f>IFERROR(__xludf.DUMMYFUNCTION("""COMPUTED_VALUE"""),0.5416666666678793)</f>
        <v>0.5416666667</v>
      </c>
      <c r="F236" s="11" t="str">
        <f>IFERROR(__xludf.DUMMYFUNCTION("""COMPUTED_VALUE"""),"CSE281.3")</f>
        <v>CSE281.3</v>
      </c>
      <c r="G236" s="11" t="str">
        <f>IFERROR(__xludf.DUMMYFUNCTION("""COMPUTED_VALUE"""),"Introduction to Programming Language II (Java)")</f>
        <v>Introduction to Programming Language II (Java)</v>
      </c>
      <c r="H236" s="13">
        <f>IFERROR(__xludf.DUMMYFUNCTION("""COMPUTED_VALUE"""),41.0)</f>
        <v>41</v>
      </c>
      <c r="I236" s="11" t="str">
        <f>IFERROR(__xludf.DUMMYFUNCTION("""COMPUTED_VALUE"""),"[MDAY] Md. Ayon Mia")</f>
        <v>[MDAY] Md. Ayon Mia</v>
      </c>
      <c r="J236" s="13">
        <f t="shared" si="1"/>
        <v>-1</v>
      </c>
    </row>
    <row r="237">
      <c r="A237" s="11" t="str">
        <f>IFERROR(__xludf.DUMMYFUNCTION("""COMPUTED_VALUE"""),"C")</f>
        <v>C</v>
      </c>
      <c r="B237" s="11" t="str">
        <f>IFERROR(__xludf.DUMMYFUNCTION("""COMPUTED_VALUE"""),"Slot - 05")</f>
        <v>Slot - 05</v>
      </c>
      <c r="C237" s="11" t="str">
        <f>IFERROR(__xludf.DUMMYFUNCTION("""COMPUTED_VALUE"""),"13.04.2026")</f>
        <v>13.04.2026</v>
      </c>
      <c r="D237" s="12">
        <f>IFERROR(__xludf.DUMMYFUNCTION("""COMPUTED_VALUE"""),0.4791666666678793)</f>
        <v>0.4791666667</v>
      </c>
      <c r="E237" s="12">
        <f>IFERROR(__xludf.DUMMYFUNCTION("""COMPUTED_VALUE"""),0.5416666666678793)</f>
        <v>0.5416666667</v>
      </c>
      <c r="F237" s="11" t="str">
        <f>IFERROR(__xludf.DUMMYFUNCTION("""COMPUTED_VALUE"""),"CSE281.4")</f>
        <v>CSE281.4</v>
      </c>
      <c r="G237" s="11" t="str">
        <f>IFERROR(__xludf.DUMMYFUNCTION("""COMPUTED_VALUE"""),"Introduction to Programming Language II (Java)")</f>
        <v>Introduction to Programming Language II (Java)</v>
      </c>
      <c r="H237" s="13">
        <f>IFERROR(__xludf.DUMMYFUNCTION("""COMPUTED_VALUE"""),39.0)</f>
        <v>39</v>
      </c>
      <c r="I237" s="11" t="str">
        <f>IFERROR(__xludf.DUMMYFUNCTION("""COMPUTED_VALUE"""),"[MDAY] Md. Ayon Mia")</f>
        <v>[MDAY] Md. Ayon Mia</v>
      </c>
      <c r="J237" s="13">
        <f t="shared" si="1"/>
        <v>-1</v>
      </c>
    </row>
    <row r="238">
      <c r="A238" s="11" t="str">
        <f>IFERROR(__xludf.DUMMYFUNCTION("""COMPUTED_VALUE"""),"C")</f>
        <v>C</v>
      </c>
      <c r="B238" s="11" t="str">
        <f>IFERROR(__xludf.DUMMYFUNCTION("""COMPUTED_VALUE"""),"Slot - 12")</f>
        <v>Slot - 12</v>
      </c>
      <c r="C238" s="11" t="str">
        <f>IFERROR(__xludf.DUMMYFUNCTION("""COMPUTED_VALUE"""),"16.04.2026")</f>
        <v>16.04.2026</v>
      </c>
      <c r="D238" s="12">
        <f>IFERROR(__xludf.DUMMYFUNCTION("""COMPUTED_VALUE"""),0.6041666666678793)</f>
        <v>0.6041666667</v>
      </c>
      <c r="E238" s="12">
        <f>IFERROR(__xludf.DUMMYFUNCTION("""COMPUTED_VALUE"""),0.6666666666678793)</f>
        <v>0.6666666667</v>
      </c>
      <c r="F238" s="11" t="str">
        <f>IFERROR(__xludf.DUMMYFUNCTION("""COMPUTED_VALUE"""),"SOC341.6")</f>
        <v>SOC341.6</v>
      </c>
      <c r="G238" s="11" t="str">
        <f>IFERROR(__xludf.DUMMYFUNCTION("""COMPUTED_VALUE"""),"Engineering Ethics")</f>
        <v>Engineering Ethics</v>
      </c>
      <c r="H238" s="13">
        <f>IFERROR(__xludf.DUMMYFUNCTION("""COMPUTED_VALUE"""),42.0)</f>
        <v>42</v>
      </c>
      <c r="I238" s="11" t="str">
        <f>IFERROR(__xludf.DUMMYFUNCTION("""COMPUTED_VALUE"""),"[MDAY] Md. Ayon Mia")</f>
        <v>[MDAY] Md. Ayon Mia</v>
      </c>
      <c r="J238" s="13">
        <f t="shared" si="1"/>
        <v>-1</v>
      </c>
    </row>
    <row r="239">
      <c r="A239" s="11" t="str">
        <f>IFERROR(__xludf.DUMMYFUNCTION("""COMPUTED_VALUE"""),"C")</f>
        <v>C</v>
      </c>
      <c r="B239" s="11" t="str">
        <f>IFERROR(__xludf.DUMMYFUNCTION("""COMPUTED_VALUE"""),"Slot - 23")</f>
        <v>Slot - 23</v>
      </c>
      <c r="C239" s="11" t="str">
        <f>IFERROR(__xludf.DUMMYFUNCTION("""COMPUTED_VALUE"""),"21.04.2026")</f>
        <v>21.04.2026</v>
      </c>
      <c r="D239" s="12">
        <f>IFERROR(__xludf.DUMMYFUNCTION("""COMPUTED_VALUE"""),0.4791666666678793)</f>
        <v>0.4791666667</v>
      </c>
      <c r="E239" s="12">
        <f>IFERROR(__xludf.DUMMYFUNCTION("""COMPUTED_VALUE"""),0.5416666666678793)</f>
        <v>0.5416666667</v>
      </c>
      <c r="F239" s="11" t="str">
        <f>IFERROR(__xludf.DUMMYFUNCTION("""COMPUTED_VALUE"""),"MAT1103.1")</f>
        <v>MAT1103.1</v>
      </c>
      <c r="G239" s="11" t="str">
        <f>IFERROR(__xludf.DUMMYFUNCTION("""COMPUTED_VALUE"""),"Differential &amp; Integral Calculus")</f>
        <v>Differential &amp; Integral Calculus</v>
      </c>
      <c r="H239" s="13">
        <f>IFERROR(__xludf.DUMMYFUNCTION("""COMPUTED_VALUE"""),31.0)</f>
        <v>31</v>
      </c>
      <c r="I239" s="11" t="str">
        <f>IFERROR(__xludf.DUMMYFUNCTION("""COMPUTED_VALUE"""),"[MDAZ] Md. Asadujjaman")</f>
        <v>[MDAZ] Md. Asadujjaman</v>
      </c>
      <c r="J239" s="13">
        <f t="shared" si="1"/>
        <v>1</v>
      </c>
    </row>
    <row r="240">
      <c r="A240" s="11" t="str">
        <f>IFERROR(__xludf.DUMMYFUNCTION("""COMPUTED_VALUE"""),"C")</f>
        <v>C</v>
      </c>
      <c r="B240" s="11" t="str">
        <f>IFERROR(__xludf.DUMMYFUNCTION("""COMPUTED_VALUE"""),"Slot - 23")</f>
        <v>Slot - 23</v>
      </c>
      <c r="C240" s="11" t="str">
        <f>IFERROR(__xludf.DUMMYFUNCTION("""COMPUTED_VALUE"""),"21.04.2026")</f>
        <v>21.04.2026</v>
      </c>
      <c r="D240" s="12">
        <f>IFERROR(__xludf.DUMMYFUNCTION("""COMPUTED_VALUE"""),0.4791666666678793)</f>
        <v>0.4791666667</v>
      </c>
      <c r="E240" s="12">
        <f>IFERROR(__xludf.DUMMYFUNCTION("""COMPUTED_VALUE"""),0.5416666666678793)</f>
        <v>0.5416666667</v>
      </c>
      <c r="F240" s="11" t="str">
        <f>IFERROR(__xludf.DUMMYFUNCTION("""COMPUTED_VALUE"""),"MAT141.1")</f>
        <v>MAT141.1</v>
      </c>
      <c r="G240" s="11" t="str">
        <f>IFERROR(__xludf.DUMMYFUNCTION("""COMPUTED_VALUE"""),"Differential &amp; Integral Calculus")</f>
        <v>Differential &amp; Integral Calculus</v>
      </c>
      <c r="H240" s="13">
        <f>IFERROR(__xludf.DUMMYFUNCTION("""COMPUTED_VALUE"""),42.0)</f>
        <v>42</v>
      </c>
      <c r="I240" s="11" t="str">
        <f>IFERROR(__xludf.DUMMYFUNCTION("""COMPUTED_VALUE"""),"[MDAZ] Md. Asadujjaman")</f>
        <v>[MDAZ] Md. Asadujjaman</v>
      </c>
      <c r="J240" s="13">
        <f t="shared" si="1"/>
        <v>1</v>
      </c>
    </row>
    <row r="241">
      <c r="A241" s="11" t="str">
        <f>IFERROR(__xludf.DUMMYFUNCTION("""COMPUTED_VALUE"""),"C")</f>
        <v>C</v>
      </c>
      <c r="B241" s="11" t="str">
        <f>IFERROR(__xludf.DUMMYFUNCTION("""COMPUTED_VALUE"""),"Slot - 24")</f>
        <v>Slot - 24</v>
      </c>
      <c r="C241" s="11" t="str">
        <f>IFERROR(__xludf.DUMMYFUNCTION("""COMPUTED_VALUE"""),"21.04.2026")</f>
        <v>21.04.2026</v>
      </c>
      <c r="D241" s="12">
        <f>IFERROR(__xludf.DUMMYFUNCTION("""COMPUTED_VALUE"""),0.6041666666678793)</f>
        <v>0.6041666667</v>
      </c>
      <c r="E241" s="12">
        <f>IFERROR(__xludf.DUMMYFUNCTION("""COMPUTED_VALUE"""),0.6666666666678793)</f>
        <v>0.6666666667</v>
      </c>
      <c r="F241" s="11" t="str">
        <f>IFERROR(__xludf.DUMMYFUNCTION("""COMPUTED_VALUE"""),"MAT161.5")</f>
        <v>MAT161.5</v>
      </c>
      <c r="G241" s="11" t="str">
        <f>IFERROR(__xludf.DUMMYFUNCTION("""COMPUTED_VALUE"""),"Coordinate Geometry and Vector Analysis")</f>
        <v>Coordinate Geometry and Vector Analysis</v>
      </c>
      <c r="H241" s="13">
        <f>IFERROR(__xludf.DUMMYFUNCTION("""COMPUTED_VALUE"""),42.0)</f>
        <v>42</v>
      </c>
      <c r="I241" s="11" t="str">
        <f>IFERROR(__xludf.DUMMYFUNCTION("""COMPUTED_VALUE"""),"[MDH] Md. Mojaammel Haque")</f>
        <v>[MDH] Md. Mojaammel Haque</v>
      </c>
      <c r="J241" s="13">
        <f t="shared" si="1"/>
        <v>-1</v>
      </c>
    </row>
    <row r="242">
      <c r="A242" s="11" t="str">
        <f>IFERROR(__xludf.DUMMYFUNCTION("""COMPUTED_VALUE"""),"C")</f>
        <v>C</v>
      </c>
      <c r="B242" s="11" t="str">
        <f>IFERROR(__xludf.DUMMYFUNCTION("""COMPUTED_VALUE"""),"Slot - 24")</f>
        <v>Slot - 24</v>
      </c>
      <c r="C242" s="11" t="str">
        <f>IFERROR(__xludf.DUMMYFUNCTION("""COMPUTED_VALUE"""),"21.04.2026")</f>
        <v>21.04.2026</v>
      </c>
      <c r="D242" s="12">
        <f>IFERROR(__xludf.DUMMYFUNCTION("""COMPUTED_VALUE"""),0.6041666666678793)</f>
        <v>0.6041666667</v>
      </c>
      <c r="E242" s="12">
        <f>IFERROR(__xludf.DUMMYFUNCTION("""COMPUTED_VALUE"""),0.6666666666678793)</f>
        <v>0.6666666667</v>
      </c>
      <c r="F242" s="11" t="str">
        <f>IFERROR(__xludf.DUMMYFUNCTION("""COMPUTED_VALUE"""),"MAT161.6")</f>
        <v>MAT161.6</v>
      </c>
      <c r="G242" s="11" t="str">
        <f>IFERROR(__xludf.DUMMYFUNCTION("""COMPUTED_VALUE"""),"Coordinate Geometry and Vector Analysis")</f>
        <v>Coordinate Geometry and Vector Analysis</v>
      </c>
      <c r="H242" s="13">
        <f>IFERROR(__xludf.DUMMYFUNCTION("""COMPUTED_VALUE"""),42.0)</f>
        <v>42</v>
      </c>
      <c r="I242" s="11" t="str">
        <f>IFERROR(__xludf.DUMMYFUNCTION("""COMPUTED_VALUE"""),"[MDH] Md. Mojaammel Haque")</f>
        <v>[MDH] Md. Mojaammel Haque</v>
      </c>
      <c r="J242" s="13">
        <f t="shared" si="1"/>
        <v>-1</v>
      </c>
    </row>
    <row r="243">
      <c r="A243" s="11" t="str">
        <f>IFERROR(__xludf.DUMMYFUNCTION("""COMPUTED_VALUE"""),"C")</f>
        <v>C</v>
      </c>
      <c r="B243" s="11" t="str">
        <f>IFERROR(__xludf.DUMMYFUNCTION("""COMPUTED_VALUE"""),"Slot - 02")</f>
        <v>Slot - 02</v>
      </c>
      <c r="C243" s="11" t="str">
        <f>IFERROR(__xludf.DUMMYFUNCTION("""COMPUTED_VALUE"""),"12.04.2026")</f>
        <v>12.04.2026</v>
      </c>
      <c r="D243" s="12">
        <f>IFERROR(__xludf.DUMMYFUNCTION("""COMPUTED_VALUE"""),0.4791666666678793)</f>
        <v>0.4791666667</v>
      </c>
      <c r="E243" s="12">
        <f>IFERROR(__xludf.DUMMYFUNCTION("""COMPUTED_VALUE"""),0.5416666666678793)</f>
        <v>0.5416666667</v>
      </c>
      <c r="F243" s="11" t="str">
        <f>IFERROR(__xludf.DUMMYFUNCTION("""COMPUTED_VALUE"""),"EEE181.5")</f>
        <v>EEE181.5</v>
      </c>
      <c r="G243" s="11" t="str">
        <f>IFERROR(__xludf.DUMMYFUNCTION("""COMPUTED_VALUE"""),"Electrical Circuits Design I")</f>
        <v>Electrical Circuits Design I</v>
      </c>
      <c r="H243" s="13">
        <f>IFERROR(__xludf.DUMMYFUNCTION("""COMPUTED_VALUE"""),36.0)</f>
        <v>36</v>
      </c>
      <c r="I243" s="11" t="str">
        <f>IFERROR(__xludf.DUMMYFUNCTION("""COMPUTED_VALUE"""),"[MDHB] Mahdin Mahboob")</f>
        <v>[MDHB] Mahdin Mahboob</v>
      </c>
      <c r="J243" s="13">
        <f t="shared" si="1"/>
        <v>1</v>
      </c>
    </row>
    <row r="244">
      <c r="A244" s="11" t="str">
        <f>IFERROR(__xludf.DUMMYFUNCTION("""COMPUTED_VALUE"""),"C")</f>
        <v>C</v>
      </c>
      <c r="B244" s="11" t="str">
        <f>IFERROR(__xludf.DUMMYFUNCTION("""COMPUTED_VALUE"""),"Slot - 02")</f>
        <v>Slot - 02</v>
      </c>
      <c r="C244" s="11" t="str">
        <f>IFERROR(__xludf.DUMMYFUNCTION("""COMPUTED_VALUE"""),"12.04.2026")</f>
        <v>12.04.2026</v>
      </c>
      <c r="D244" s="12">
        <f>IFERROR(__xludf.DUMMYFUNCTION("""COMPUTED_VALUE"""),0.4791666666678793)</f>
        <v>0.4791666667</v>
      </c>
      <c r="E244" s="12">
        <f>IFERROR(__xludf.DUMMYFUNCTION("""COMPUTED_VALUE"""),0.5416666666678793)</f>
        <v>0.5416666667</v>
      </c>
      <c r="F244" s="11" t="str">
        <f>IFERROR(__xludf.DUMMYFUNCTION("""COMPUTED_VALUE"""),"EEE181.6")</f>
        <v>EEE181.6</v>
      </c>
      <c r="G244" s="11" t="str">
        <f>IFERROR(__xludf.DUMMYFUNCTION("""COMPUTED_VALUE"""),"Electrical Circuits Design I")</f>
        <v>Electrical Circuits Design I</v>
      </c>
      <c r="H244" s="13">
        <f>IFERROR(__xludf.DUMMYFUNCTION("""COMPUTED_VALUE"""),36.0)</f>
        <v>36</v>
      </c>
      <c r="I244" s="11" t="str">
        <f>IFERROR(__xludf.DUMMYFUNCTION("""COMPUTED_VALUE"""),"[MDHB] Mahdin Mahboob")</f>
        <v>[MDHB] Mahdin Mahboob</v>
      </c>
      <c r="J244" s="13">
        <f t="shared" si="1"/>
        <v>1</v>
      </c>
    </row>
    <row r="245">
      <c r="A245" s="11" t="str">
        <f>IFERROR(__xludf.DUMMYFUNCTION("""COMPUTED_VALUE"""),"C")</f>
        <v>C</v>
      </c>
      <c r="B245" s="11" t="str">
        <f>IFERROR(__xludf.DUMMYFUNCTION("""COMPUTED_VALUE"""),"Slot - 03")</f>
        <v>Slot - 03</v>
      </c>
      <c r="C245" s="11" t="str">
        <f>IFERROR(__xludf.DUMMYFUNCTION("""COMPUTED_VALUE"""),"12.04.2026")</f>
        <v>12.04.2026</v>
      </c>
      <c r="D245" s="12">
        <f>IFERROR(__xludf.DUMMYFUNCTION("""COMPUTED_VALUE"""),0.6041666666678793)</f>
        <v>0.6041666667</v>
      </c>
      <c r="E245" s="12">
        <f>IFERROR(__xludf.DUMMYFUNCTION("""COMPUTED_VALUE"""),0.6666666666678793)</f>
        <v>0.6666666667</v>
      </c>
      <c r="F245" s="11" t="str">
        <f>IFERROR(__xludf.DUMMYFUNCTION("""COMPUTED_VALUE"""),"SOC341.11")</f>
        <v>SOC341.11</v>
      </c>
      <c r="G245" s="11" t="str">
        <f>IFERROR(__xludf.DUMMYFUNCTION("""COMPUTED_VALUE"""),"Engineering Ethics")</f>
        <v>Engineering Ethics</v>
      </c>
      <c r="H245" s="13">
        <f>IFERROR(__xludf.DUMMYFUNCTION("""COMPUTED_VALUE"""),41.0)</f>
        <v>41</v>
      </c>
      <c r="I245" s="11" t="str">
        <f>IFERROR(__xludf.DUMMYFUNCTION("""COMPUTED_VALUE"""),"[MDHB] Mahdin Mahboob")</f>
        <v>[MDHB] Mahdin Mahboob</v>
      </c>
      <c r="J245" s="13">
        <f t="shared" si="1"/>
        <v>1</v>
      </c>
    </row>
    <row r="246">
      <c r="A246" s="11" t="str">
        <f>IFERROR(__xludf.DUMMYFUNCTION("""COMPUTED_VALUE"""),"C")</f>
        <v>C</v>
      </c>
      <c r="B246" s="11" t="str">
        <f>IFERROR(__xludf.DUMMYFUNCTION("""COMPUTED_VALUE"""),"Slot - 17")</f>
        <v>Slot - 17</v>
      </c>
      <c r="C246" s="11" t="str">
        <f>IFERROR(__xludf.DUMMYFUNCTION("""COMPUTED_VALUE"""),"19.04.2026")</f>
        <v>19.04.2026</v>
      </c>
      <c r="D246" s="12">
        <f>IFERROR(__xludf.DUMMYFUNCTION("""COMPUTED_VALUE"""),0.4791666666678793)</f>
        <v>0.4791666667</v>
      </c>
      <c r="E246" s="12">
        <f>IFERROR(__xludf.DUMMYFUNCTION("""COMPUTED_VALUE"""),0.5416666666678793)</f>
        <v>0.5416666667</v>
      </c>
      <c r="F246" s="11" t="str">
        <f>IFERROR(__xludf.DUMMYFUNCTION("""COMPUTED_VALUE"""),"MAT161.7")</f>
        <v>MAT161.7</v>
      </c>
      <c r="G246" s="11" t="str">
        <f>IFERROR(__xludf.DUMMYFUNCTION("""COMPUTED_VALUE"""),"Coordinate Geometry and Vector Analysis")</f>
        <v>Coordinate Geometry and Vector Analysis</v>
      </c>
      <c r="H246" s="13">
        <f>IFERROR(__xludf.DUMMYFUNCTION("""COMPUTED_VALUE"""),42.0)</f>
        <v>42</v>
      </c>
      <c r="I246" s="11" t="str">
        <f>IFERROR(__xludf.DUMMYFUNCTION("""COMPUTED_VALUE"""),"[MDI] Md. Asraful Islam")</f>
        <v>[MDI] Md. Asraful Islam</v>
      </c>
      <c r="J246" s="13">
        <f t="shared" si="1"/>
        <v>-1</v>
      </c>
    </row>
    <row r="247">
      <c r="A247" s="11" t="str">
        <f>IFERROR(__xludf.DUMMYFUNCTION("""COMPUTED_VALUE"""),"C")</f>
        <v>C</v>
      </c>
      <c r="B247" s="11" t="str">
        <f>IFERROR(__xludf.DUMMYFUNCTION("""COMPUTED_VALUE"""),"Slot - 17")</f>
        <v>Slot - 17</v>
      </c>
      <c r="C247" s="11" t="str">
        <f>IFERROR(__xludf.DUMMYFUNCTION("""COMPUTED_VALUE"""),"19.04.2026")</f>
        <v>19.04.2026</v>
      </c>
      <c r="D247" s="12">
        <f>IFERROR(__xludf.DUMMYFUNCTION("""COMPUTED_VALUE"""),0.4791666666678793)</f>
        <v>0.4791666667</v>
      </c>
      <c r="E247" s="12">
        <f>IFERROR(__xludf.DUMMYFUNCTION("""COMPUTED_VALUE"""),0.5416666666678793)</f>
        <v>0.5416666667</v>
      </c>
      <c r="F247" s="11" t="str">
        <f>IFERROR(__xludf.DUMMYFUNCTION("""COMPUTED_VALUE"""),"MAT161.8")</f>
        <v>MAT161.8</v>
      </c>
      <c r="G247" s="11" t="str">
        <f>IFERROR(__xludf.DUMMYFUNCTION("""COMPUTED_VALUE"""),"Coordinate Geometry and Vector Analysis")</f>
        <v>Coordinate Geometry and Vector Analysis</v>
      </c>
      <c r="H247" s="13">
        <f>IFERROR(__xludf.DUMMYFUNCTION("""COMPUTED_VALUE"""),40.0)</f>
        <v>40</v>
      </c>
      <c r="I247" s="11" t="str">
        <f>IFERROR(__xludf.DUMMYFUNCTION("""COMPUTED_VALUE"""),"[MDI] Md. Asraful Islam")</f>
        <v>[MDI] Md. Asraful Islam</v>
      </c>
      <c r="J247" s="13">
        <f t="shared" si="1"/>
        <v>-1</v>
      </c>
    </row>
    <row r="248">
      <c r="A248" s="11" t="str">
        <f>IFERROR(__xludf.DUMMYFUNCTION("""COMPUTED_VALUE"""),"C")</f>
        <v>C</v>
      </c>
      <c r="B248" s="11" t="str">
        <f>IFERROR(__xludf.DUMMYFUNCTION("""COMPUTED_VALUE"""),"Slot - 09")</f>
        <v>Slot - 09</v>
      </c>
      <c r="C248" s="11" t="str">
        <f>IFERROR(__xludf.DUMMYFUNCTION("""COMPUTED_VALUE"""),"15.04.2026")</f>
        <v>15.04.2026</v>
      </c>
      <c r="D248" s="12">
        <f>IFERROR(__xludf.DUMMYFUNCTION("""COMPUTED_VALUE"""),0.6041666666678793)</f>
        <v>0.6041666667</v>
      </c>
      <c r="E248" s="12">
        <f>IFERROR(__xludf.DUMMYFUNCTION("""COMPUTED_VALUE"""),0.6666666666678793)</f>
        <v>0.6666666667</v>
      </c>
      <c r="F248" s="11" t="str">
        <f>IFERROR(__xludf.DUMMYFUNCTION("""COMPUTED_VALUE"""),"CSE263.13")</f>
        <v>CSE263.13</v>
      </c>
      <c r="G248" s="11" t="str">
        <f>IFERROR(__xludf.DUMMYFUNCTION("""COMPUTED_VALUE"""),"Digital Logic Design")</f>
        <v>Digital Logic Design</v>
      </c>
      <c r="H248" s="13">
        <f>IFERROR(__xludf.DUMMYFUNCTION("""COMPUTED_VALUE"""),16.0)</f>
        <v>16</v>
      </c>
      <c r="I248" s="11" t="str">
        <f>IFERROR(__xludf.DUMMYFUNCTION("""COMPUTED_VALUE"""),"[MDSM] Md. Shanian Moed")</f>
        <v>[MDSM] Md. Shanian Moed</v>
      </c>
      <c r="J248" s="13">
        <f t="shared" si="1"/>
        <v>1</v>
      </c>
    </row>
    <row r="249">
      <c r="A249" s="11" t="str">
        <f>IFERROR(__xludf.DUMMYFUNCTION("""COMPUTED_VALUE"""),"C")</f>
        <v>C</v>
      </c>
      <c r="B249" s="11" t="str">
        <f>IFERROR(__xludf.DUMMYFUNCTION("""COMPUTED_VALUE"""),"Slot - 13")</f>
        <v>Slot - 13</v>
      </c>
      <c r="C249" s="11" t="str">
        <f>IFERROR(__xludf.DUMMYFUNCTION("""COMPUTED_VALUE"""),"18.04.2026")</f>
        <v>18.04.2026</v>
      </c>
      <c r="D249" s="12">
        <f>IFERROR(__xludf.DUMMYFUNCTION("""COMPUTED_VALUE"""),0.3541666666678793)</f>
        <v>0.3541666667</v>
      </c>
      <c r="E249" s="12">
        <f>IFERROR(__xludf.DUMMYFUNCTION("""COMPUTED_VALUE"""),0.4166666666678793)</f>
        <v>0.4166666667</v>
      </c>
      <c r="F249" s="11" t="str">
        <f>IFERROR(__xludf.DUMMYFUNCTION("""COMPUTED_VALUE"""),"EEE181.12")</f>
        <v>EEE181.12</v>
      </c>
      <c r="G249" s="11" t="str">
        <f>IFERROR(__xludf.DUMMYFUNCTION("""COMPUTED_VALUE"""),"Electrical Circuits Design I")</f>
        <v>Electrical Circuits Design I</v>
      </c>
      <c r="H249" s="13">
        <f>IFERROR(__xludf.DUMMYFUNCTION("""COMPUTED_VALUE"""),36.0)</f>
        <v>36</v>
      </c>
      <c r="I249" s="11" t="str">
        <f>IFERROR(__xludf.DUMMYFUNCTION("""COMPUTED_VALUE"""),"[MDSM] Md. Shanian Moed")</f>
        <v>[MDSM] Md. Shanian Moed</v>
      </c>
      <c r="J249" s="13">
        <f t="shared" si="1"/>
        <v>1</v>
      </c>
    </row>
    <row r="250">
      <c r="A250" s="11" t="str">
        <f>IFERROR(__xludf.DUMMYFUNCTION("""COMPUTED_VALUE"""),"C")</f>
        <v>C</v>
      </c>
      <c r="B250" s="11" t="str">
        <f>IFERROR(__xludf.DUMMYFUNCTION("""COMPUTED_VALUE"""),"Slot - 03")</f>
        <v>Slot - 03</v>
      </c>
      <c r="C250" s="11" t="str">
        <f>IFERROR(__xludf.DUMMYFUNCTION("""COMPUTED_VALUE"""),"12.04.2026")</f>
        <v>12.04.2026</v>
      </c>
      <c r="D250" s="12">
        <f>IFERROR(__xludf.DUMMYFUNCTION("""COMPUTED_VALUE"""),0.6041666666678793)</f>
        <v>0.6041666667</v>
      </c>
      <c r="E250" s="12">
        <f>IFERROR(__xludf.DUMMYFUNCTION("""COMPUTED_VALUE"""),0.6666666666678793)</f>
        <v>0.6666666667</v>
      </c>
      <c r="F250" s="11" t="str">
        <f>IFERROR(__xludf.DUMMYFUNCTION("""COMPUTED_VALUE"""),"CSE475.1")</f>
        <v>CSE475.1</v>
      </c>
      <c r="G250" s="11" t="str">
        <f>IFERROR(__xludf.DUMMYFUNCTION("""COMPUTED_VALUE"""),"Management Information System")</f>
        <v>Management Information System</v>
      </c>
      <c r="H250" s="13">
        <f>IFERROR(__xludf.DUMMYFUNCTION("""COMPUTED_VALUE"""),41.0)</f>
        <v>41</v>
      </c>
      <c r="I250" s="11" t="str">
        <f>IFERROR(__xludf.DUMMYFUNCTION("""COMPUTED_VALUE"""),"[MDSR] Mohammad Shohel Rana")</f>
        <v>[MDSR] Mohammad Shohel Rana</v>
      </c>
      <c r="J250" s="13">
        <f t="shared" si="1"/>
        <v>-1</v>
      </c>
    </row>
    <row r="251">
      <c r="A251" s="11" t="str">
        <f>IFERROR(__xludf.DUMMYFUNCTION("""COMPUTED_VALUE"""),"C")</f>
        <v>C</v>
      </c>
      <c r="B251" s="11" t="str">
        <f>IFERROR(__xludf.DUMMYFUNCTION("""COMPUTED_VALUE"""),"Slot - 03")</f>
        <v>Slot - 03</v>
      </c>
      <c r="C251" s="11" t="str">
        <f>IFERROR(__xludf.DUMMYFUNCTION("""COMPUTED_VALUE"""),"12.04.2026")</f>
        <v>12.04.2026</v>
      </c>
      <c r="D251" s="12">
        <f>IFERROR(__xludf.DUMMYFUNCTION("""COMPUTED_VALUE"""),0.6041666666678793)</f>
        <v>0.6041666667</v>
      </c>
      <c r="E251" s="12">
        <f>IFERROR(__xludf.DUMMYFUNCTION("""COMPUTED_VALUE"""),0.6666666666678793)</f>
        <v>0.6666666667</v>
      </c>
      <c r="F251" s="11" t="str">
        <f>IFERROR(__xludf.DUMMYFUNCTION("""COMPUTED_VALUE"""),"CSE475.2")</f>
        <v>CSE475.2</v>
      </c>
      <c r="G251" s="11" t="str">
        <f>IFERROR(__xludf.DUMMYFUNCTION("""COMPUTED_VALUE"""),"Management Information System")</f>
        <v>Management Information System</v>
      </c>
      <c r="H251" s="13">
        <f>IFERROR(__xludf.DUMMYFUNCTION("""COMPUTED_VALUE"""),35.0)</f>
        <v>35</v>
      </c>
      <c r="I251" s="11" t="str">
        <f>IFERROR(__xludf.DUMMYFUNCTION("""COMPUTED_VALUE"""),"[MDSR] Mohammad Shohel Rana")</f>
        <v>[MDSR] Mohammad Shohel Rana</v>
      </c>
      <c r="J251" s="13">
        <f t="shared" si="1"/>
        <v>-1</v>
      </c>
    </row>
    <row r="252">
      <c r="A252" s="11" t="str">
        <f>IFERROR(__xludf.DUMMYFUNCTION("""COMPUTED_VALUE"""),"C")</f>
        <v>C</v>
      </c>
      <c r="B252" s="11" t="str">
        <f>IFERROR(__xludf.DUMMYFUNCTION("""COMPUTED_VALUE"""),"Slot - 21")</f>
        <v>Slot - 21</v>
      </c>
      <c r="C252" s="11" t="str">
        <f>IFERROR(__xludf.DUMMYFUNCTION("""COMPUTED_VALUE"""),"20.04.2026")</f>
        <v>20.04.2026</v>
      </c>
      <c r="D252" s="12">
        <f>IFERROR(__xludf.DUMMYFUNCTION("""COMPUTED_VALUE"""),0.6041666666678793)</f>
        <v>0.6041666667</v>
      </c>
      <c r="E252" s="12">
        <f>IFERROR(__xludf.DUMMYFUNCTION("""COMPUTED_VALUE"""),0.6666666666678793)</f>
        <v>0.6666666667</v>
      </c>
      <c r="F252" s="11" t="str">
        <f>IFERROR(__xludf.DUMMYFUNCTION("""COMPUTED_VALUE"""),"ETE2023.1")</f>
        <v>ETE2023.1</v>
      </c>
      <c r="G252" s="11" t="str">
        <f>IFERROR(__xludf.DUMMYFUNCTION("""COMPUTED_VALUE"""),"Communication Theory")</f>
        <v>Communication Theory</v>
      </c>
      <c r="H252" s="13">
        <f>IFERROR(__xludf.DUMMYFUNCTION("""COMPUTED_VALUE"""),1.0)</f>
        <v>1</v>
      </c>
      <c r="I252" s="11" t="str">
        <f>IFERROR(__xludf.DUMMYFUNCTION("""COMPUTED_VALUE"""),"[MDSR] Mohammad Shohel Rana")</f>
        <v>[MDSR] Mohammad Shohel Rana</v>
      </c>
      <c r="J252" s="13">
        <f t="shared" si="1"/>
        <v>-1</v>
      </c>
    </row>
    <row r="253">
      <c r="A253" s="11" t="str">
        <f>IFERROR(__xludf.DUMMYFUNCTION("""COMPUTED_VALUE"""),"C")</f>
        <v>C</v>
      </c>
      <c r="B253" s="11" t="str">
        <f>IFERROR(__xludf.DUMMYFUNCTION("""COMPUTED_VALUE"""),"Slot - 21")</f>
        <v>Slot - 21</v>
      </c>
      <c r="C253" s="11" t="str">
        <f>IFERROR(__xludf.DUMMYFUNCTION("""COMPUTED_VALUE"""),"20.04.2026")</f>
        <v>20.04.2026</v>
      </c>
      <c r="D253" s="12">
        <f>IFERROR(__xludf.DUMMYFUNCTION("""COMPUTED_VALUE"""),0.6041666666678793)</f>
        <v>0.6041666667</v>
      </c>
      <c r="E253" s="12">
        <f>IFERROR(__xludf.DUMMYFUNCTION("""COMPUTED_VALUE"""),0.6666666666678793)</f>
        <v>0.6666666667</v>
      </c>
      <c r="F253" s="11" t="str">
        <f>IFERROR(__xludf.DUMMYFUNCTION("""COMPUTED_VALUE"""),"ETE281.6")</f>
        <v>ETE281.6</v>
      </c>
      <c r="G253" s="11" t="str">
        <f>IFERROR(__xludf.DUMMYFUNCTION("""COMPUTED_VALUE"""),"Communication Theory")</f>
        <v>Communication Theory</v>
      </c>
      <c r="H253" s="13">
        <f>IFERROR(__xludf.DUMMYFUNCTION("""COMPUTED_VALUE"""),32.0)</f>
        <v>32</v>
      </c>
      <c r="I253" s="11" t="str">
        <f>IFERROR(__xludf.DUMMYFUNCTION("""COMPUTED_VALUE"""),"[MDSR] Mohammad Shohel Rana")</f>
        <v>[MDSR] Mohammad Shohel Rana</v>
      </c>
      <c r="J253" s="13">
        <f t="shared" si="1"/>
        <v>-1</v>
      </c>
    </row>
    <row r="254">
      <c r="A254" s="11" t="str">
        <f>IFERROR(__xludf.DUMMYFUNCTION("""COMPUTED_VALUE"""),"C")</f>
        <v>C</v>
      </c>
      <c r="B254" s="11" t="str">
        <f>IFERROR(__xludf.DUMMYFUNCTION("""COMPUTED_VALUE"""),"Slot - 21")</f>
        <v>Slot - 21</v>
      </c>
      <c r="C254" s="11" t="str">
        <f>IFERROR(__xludf.DUMMYFUNCTION("""COMPUTED_VALUE"""),"20.04.2026")</f>
        <v>20.04.2026</v>
      </c>
      <c r="D254" s="12">
        <f>IFERROR(__xludf.DUMMYFUNCTION("""COMPUTED_VALUE"""),0.6041666666678793)</f>
        <v>0.6041666667</v>
      </c>
      <c r="E254" s="12">
        <f>IFERROR(__xludf.DUMMYFUNCTION("""COMPUTED_VALUE"""),0.6666666666678793)</f>
        <v>0.6666666667</v>
      </c>
      <c r="F254" s="11" t="str">
        <f>IFERROR(__xludf.DUMMYFUNCTION("""COMPUTED_VALUE"""),"ETE281.7")</f>
        <v>ETE281.7</v>
      </c>
      <c r="G254" s="11" t="str">
        <f>IFERROR(__xludf.DUMMYFUNCTION("""COMPUTED_VALUE"""),"Communication Theory")</f>
        <v>Communication Theory</v>
      </c>
      <c r="H254" s="13">
        <f>IFERROR(__xludf.DUMMYFUNCTION("""COMPUTED_VALUE"""),31.0)</f>
        <v>31</v>
      </c>
      <c r="I254" s="11" t="str">
        <f>IFERROR(__xludf.DUMMYFUNCTION("""COMPUTED_VALUE"""),"[MDSR] Mohammad Shohel Rana")</f>
        <v>[MDSR] Mohammad Shohel Rana</v>
      </c>
      <c r="J254" s="13">
        <f t="shared" si="1"/>
        <v>-1</v>
      </c>
    </row>
    <row r="255">
      <c r="A255" s="11" t="str">
        <f>IFERROR(__xludf.DUMMYFUNCTION("""COMPUTED_VALUE"""),"C")</f>
        <v>C</v>
      </c>
      <c r="B255" s="11" t="str">
        <f>IFERROR(__xludf.DUMMYFUNCTION("""COMPUTED_VALUE"""),"Slot - 07")</f>
        <v>Slot - 07</v>
      </c>
      <c r="C255" s="11" t="str">
        <f>IFERROR(__xludf.DUMMYFUNCTION("""COMPUTED_VALUE"""),"15.04.2026")</f>
        <v>15.04.2026</v>
      </c>
      <c r="D255" s="12">
        <f>IFERROR(__xludf.DUMMYFUNCTION("""COMPUTED_VALUE"""),0.3541666666678793)</f>
        <v>0.3541666667</v>
      </c>
      <c r="E255" s="12">
        <f>IFERROR(__xludf.DUMMYFUNCTION("""COMPUTED_VALUE"""),0.4166666666678793)</f>
        <v>0.4166666667</v>
      </c>
      <c r="F255" s="11" t="str">
        <f>IFERROR(__xludf.DUMMYFUNCTION("""COMPUTED_VALUE"""),"CSE345.3")</f>
        <v>CSE345.3</v>
      </c>
      <c r="G255" s="11" t="str">
        <f>IFERROR(__xludf.DUMMYFUNCTION("""COMPUTED_VALUE"""),"Information System Design &amp; Software Engineering")</f>
        <v>Information System Design &amp; Software Engineering</v>
      </c>
      <c r="H255" s="13">
        <f>IFERROR(__xludf.DUMMYFUNCTION("""COMPUTED_VALUE"""),36.0)</f>
        <v>36</v>
      </c>
      <c r="I255" s="11" t="str">
        <f>IFERROR(__xludf.DUMMYFUNCTION("""COMPUTED_VALUE"""),"[MEAH] Mehedi Ahamed")</f>
        <v>[MEAH] Mehedi Ahamed</v>
      </c>
      <c r="J255" s="13">
        <f t="shared" si="1"/>
        <v>1</v>
      </c>
    </row>
    <row r="256">
      <c r="A256" s="11" t="str">
        <f>IFERROR(__xludf.DUMMYFUNCTION("""COMPUTED_VALUE"""),"C")</f>
        <v>C</v>
      </c>
      <c r="B256" s="11" t="str">
        <f>IFERROR(__xludf.DUMMYFUNCTION("""COMPUTED_VALUE"""),"Slot - 07")</f>
        <v>Slot - 07</v>
      </c>
      <c r="C256" s="11" t="str">
        <f>IFERROR(__xludf.DUMMYFUNCTION("""COMPUTED_VALUE"""),"15.04.2026")</f>
        <v>15.04.2026</v>
      </c>
      <c r="D256" s="12">
        <f>IFERROR(__xludf.DUMMYFUNCTION("""COMPUTED_VALUE"""),0.3541666666678793)</f>
        <v>0.3541666667</v>
      </c>
      <c r="E256" s="12">
        <f>IFERROR(__xludf.DUMMYFUNCTION("""COMPUTED_VALUE"""),0.4166666666678793)</f>
        <v>0.4166666667</v>
      </c>
      <c r="F256" s="11" t="str">
        <f>IFERROR(__xludf.DUMMYFUNCTION("""COMPUTED_VALUE"""),"CSE345.4")</f>
        <v>CSE345.4</v>
      </c>
      <c r="G256" s="11" t="str">
        <f>IFERROR(__xludf.DUMMYFUNCTION("""COMPUTED_VALUE"""),"Information System Design &amp; Software Engineering")</f>
        <v>Information System Design &amp; Software Engineering</v>
      </c>
      <c r="H256" s="13">
        <f>IFERROR(__xludf.DUMMYFUNCTION("""COMPUTED_VALUE"""),42.0)</f>
        <v>42</v>
      </c>
      <c r="I256" s="11" t="str">
        <f>IFERROR(__xludf.DUMMYFUNCTION("""COMPUTED_VALUE"""),"[MEAH] Mehedi Ahamed")</f>
        <v>[MEAH] Mehedi Ahamed</v>
      </c>
      <c r="J256" s="13">
        <f t="shared" si="1"/>
        <v>1</v>
      </c>
    </row>
    <row r="257">
      <c r="A257" s="11" t="str">
        <f>IFERROR(__xludf.DUMMYFUNCTION("""COMPUTED_VALUE"""),"C")</f>
        <v>C</v>
      </c>
      <c r="B257" s="11" t="str">
        <f>IFERROR(__xludf.DUMMYFUNCTION("""COMPUTED_VALUE"""),"Slot - 11")</f>
        <v>Slot - 11</v>
      </c>
      <c r="C257" s="11" t="str">
        <f>IFERROR(__xludf.DUMMYFUNCTION("""COMPUTED_VALUE"""),"16.04.2026")</f>
        <v>16.04.2026</v>
      </c>
      <c r="D257" s="12">
        <f>IFERROR(__xludf.DUMMYFUNCTION("""COMPUTED_VALUE"""),0.4791666666678793)</f>
        <v>0.4791666667</v>
      </c>
      <c r="E257" s="12">
        <f>IFERROR(__xludf.DUMMYFUNCTION("""COMPUTED_VALUE"""),0.5416666666678793)</f>
        <v>0.5416666667</v>
      </c>
      <c r="F257" s="11" t="str">
        <f>IFERROR(__xludf.DUMMYFUNCTION("""COMPUTED_VALUE"""),"CSE343.4")</f>
        <v>CSE343.4</v>
      </c>
      <c r="G257" s="11" t="str">
        <f>IFERROR(__xludf.DUMMYFUNCTION("""COMPUTED_VALUE"""),"Computer Architecture")</f>
        <v>Computer Architecture</v>
      </c>
      <c r="H257" s="13">
        <f>IFERROR(__xludf.DUMMYFUNCTION("""COMPUTED_VALUE"""),40.0)</f>
        <v>40</v>
      </c>
      <c r="I257" s="11" t="str">
        <f>IFERROR(__xludf.DUMMYFUNCTION("""COMPUTED_VALUE"""),"[MEAH] Mehedi Ahamed")</f>
        <v>[MEAH] Mehedi Ahamed</v>
      </c>
      <c r="J257" s="13">
        <f t="shared" si="1"/>
        <v>1</v>
      </c>
    </row>
    <row r="258">
      <c r="A258" s="11" t="str">
        <f>IFERROR(__xludf.DUMMYFUNCTION("""COMPUTED_VALUE"""),"C")</f>
        <v>C</v>
      </c>
      <c r="B258" s="11" t="str">
        <f>IFERROR(__xludf.DUMMYFUNCTION("""COMPUTED_VALUE"""),"Slot - 11")</f>
        <v>Slot - 11</v>
      </c>
      <c r="C258" s="11" t="str">
        <f>IFERROR(__xludf.DUMMYFUNCTION("""COMPUTED_VALUE"""),"16.04.2026")</f>
        <v>16.04.2026</v>
      </c>
      <c r="D258" s="12">
        <f>IFERROR(__xludf.DUMMYFUNCTION("""COMPUTED_VALUE"""),0.4791666666678793)</f>
        <v>0.4791666667</v>
      </c>
      <c r="E258" s="12">
        <f>IFERROR(__xludf.DUMMYFUNCTION("""COMPUTED_VALUE"""),0.5416666666678793)</f>
        <v>0.5416666667</v>
      </c>
      <c r="F258" s="11" t="str">
        <f>IFERROR(__xludf.DUMMYFUNCTION("""COMPUTED_VALUE"""),"CSE343.5")</f>
        <v>CSE343.5</v>
      </c>
      <c r="G258" s="11" t="str">
        <f>IFERROR(__xludf.DUMMYFUNCTION("""COMPUTED_VALUE"""),"Computer Architecture")</f>
        <v>Computer Architecture</v>
      </c>
      <c r="H258" s="13">
        <f>IFERROR(__xludf.DUMMYFUNCTION("""COMPUTED_VALUE"""),40.0)</f>
        <v>40</v>
      </c>
      <c r="I258" s="11" t="str">
        <f>IFERROR(__xludf.DUMMYFUNCTION("""COMPUTED_VALUE"""),"[MEAH] Mehedi Ahamed")</f>
        <v>[MEAH] Mehedi Ahamed</v>
      </c>
      <c r="J258" s="13">
        <f t="shared" si="1"/>
        <v>1</v>
      </c>
    </row>
    <row r="259">
      <c r="A259" s="11" t="str">
        <f>IFERROR(__xludf.DUMMYFUNCTION("""COMPUTED_VALUE"""),"D")</f>
        <v>D</v>
      </c>
      <c r="B259" s="11" t="str">
        <f>IFERROR(__xludf.DUMMYFUNCTION("""COMPUTED_VALUE"""),"Slot - E")</f>
        <v>Slot - E</v>
      </c>
      <c r="C259" s="11" t="str">
        <f>IFERROR(__xludf.DUMMYFUNCTION("""COMPUTED_VALUE"""),"18.04.2026")</f>
        <v>18.04.2026</v>
      </c>
      <c r="D259" s="12">
        <f>IFERROR(__xludf.DUMMYFUNCTION("""COMPUTED_VALUE"""),0.6666666666678793)</f>
        <v>0.6666666667</v>
      </c>
      <c r="E259" s="12">
        <f>IFERROR(__xludf.DUMMYFUNCTION("""COMPUTED_VALUE"""),0.7291666666678793)</f>
        <v>0.7291666667</v>
      </c>
      <c r="F259" s="11" t="str">
        <f>IFERROR(__xludf.DUMMYFUNCTION("""COMPUTED_VALUE"""),"STA281.13")</f>
        <v>STA281.13</v>
      </c>
      <c r="G259" s="11" t="str">
        <f>IFERROR(__xludf.DUMMYFUNCTION("""COMPUTED_VALUE"""),"Statistical Methods &amp; Probability")</f>
        <v>Statistical Methods &amp; Probability</v>
      </c>
      <c r="H259" s="13">
        <f>IFERROR(__xludf.DUMMYFUNCTION("""COMPUTED_VALUE"""),25.0)</f>
        <v>25</v>
      </c>
      <c r="I259" s="11" t="str">
        <f>IFERROR(__xludf.DUMMYFUNCTION("""COMPUTED_VALUE"""),"[MEI] Dr. Md. Elias")</f>
        <v>[MEI] Dr. Md. Elias</v>
      </c>
      <c r="J259" s="13">
        <f t="shared" si="1"/>
        <v>-1</v>
      </c>
    </row>
    <row r="260">
      <c r="A260" s="11" t="str">
        <f>IFERROR(__xludf.DUMMYFUNCTION("""COMPUTED_VALUE"""),"D")</f>
        <v>D</v>
      </c>
      <c r="B260" s="11" t="str">
        <f>IFERROR(__xludf.DUMMYFUNCTION("""COMPUTED_VALUE"""),"Slot - F")</f>
        <v>Slot - F</v>
      </c>
      <c r="C260" s="11" t="str">
        <f>IFERROR(__xludf.DUMMYFUNCTION("""COMPUTED_VALUE"""),"18.04.2026")</f>
        <v>18.04.2026</v>
      </c>
      <c r="D260" s="12">
        <f>IFERROR(__xludf.DUMMYFUNCTION("""COMPUTED_VALUE"""),0.7916666666678793)</f>
        <v>0.7916666667</v>
      </c>
      <c r="E260" s="12">
        <f>IFERROR(__xludf.DUMMYFUNCTION("""COMPUTED_VALUE"""),0.8541666666678793)</f>
        <v>0.8541666667</v>
      </c>
      <c r="F260" s="11" t="str">
        <f>IFERROR(__xludf.DUMMYFUNCTION("""COMPUTED_VALUE"""),"STA281.12")</f>
        <v>STA281.12</v>
      </c>
      <c r="G260" s="11" t="str">
        <f>IFERROR(__xludf.DUMMYFUNCTION("""COMPUTED_VALUE"""),"Statistical Methods &amp; Probability")</f>
        <v>Statistical Methods &amp; Probability</v>
      </c>
      <c r="H260" s="13">
        <f>IFERROR(__xludf.DUMMYFUNCTION("""COMPUTED_VALUE"""),31.0)</f>
        <v>31</v>
      </c>
      <c r="I260" s="11" t="str">
        <f>IFERROR(__xludf.DUMMYFUNCTION("""COMPUTED_VALUE"""),"[MEI] Dr. Md. Elias")</f>
        <v>[MEI] Dr. Md. Elias</v>
      </c>
      <c r="J260" s="13">
        <f t="shared" si="1"/>
        <v>-1</v>
      </c>
    </row>
    <row r="261">
      <c r="A261" s="11" t="str">
        <f>IFERROR(__xludf.DUMMYFUNCTION("""COMPUTED_VALUE"""),"D")</f>
        <v>D</v>
      </c>
      <c r="B261" s="11" t="str">
        <f>IFERROR(__xludf.DUMMYFUNCTION("""COMPUTED_VALUE"""),"Slot - A")</f>
        <v>Slot - A</v>
      </c>
      <c r="C261" s="11" t="str">
        <f>IFERROR(__xludf.DUMMYFUNCTION("""COMPUTED_VALUE"""),"17.04.2026")</f>
        <v>17.04.2026</v>
      </c>
      <c r="D261" s="12">
        <f>IFERROR(__xludf.DUMMYFUNCTION("""COMPUTED_VALUE"""),0.375)</f>
        <v>0.375</v>
      </c>
      <c r="E261" s="12">
        <f>IFERROR(__xludf.DUMMYFUNCTION("""COMPUTED_VALUE"""),0.4375)</f>
        <v>0.4375</v>
      </c>
      <c r="F261" s="11" t="str">
        <f>IFERROR(__xludf.DUMMYFUNCTION("""COMPUTED_VALUE"""),"SOC341.12")</f>
        <v>SOC341.12</v>
      </c>
      <c r="G261" s="11" t="str">
        <f>IFERROR(__xludf.DUMMYFUNCTION("""COMPUTED_VALUE"""),"Engineering Ethics")</f>
        <v>Engineering Ethics</v>
      </c>
      <c r="H261" s="13">
        <f>IFERROR(__xludf.DUMMYFUNCTION("""COMPUTED_VALUE"""),27.0)</f>
        <v>27</v>
      </c>
      <c r="I261" s="11" t="str">
        <f>IFERROR(__xludf.DUMMYFUNCTION("""COMPUTED_VALUE"""),"[MEK] Mohammad Enamul Kabir")</f>
        <v>[MEK] Mohammad Enamul Kabir</v>
      </c>
      <c r="J261" s="13">
        <f t="shared" si="1"/>
        <v>1</v>
      </c>
    </row>
    <row r="262">
      <c r="A262" s="11" t="str">
        <f>IFERROR(__xludf.DUMMYFUNCTION("""COMPUTED_VALUE"""),"D")</f>
        <v>D</v>
      </c>
      <c r="B262" s="11" t="str">
        <f>IFERROR(__xludf.DUMMYFUNCTION("""COMPUTED_VALUE"""),"Slot - I")</f>
        <v>Slot - I</v>
      </c>
      <c r="C262" s="11" t="str">
        <f>IFERROR(__xludf.DUMMYFUNCTION("""COMPUTED_VALUE"""),"24.04.2026")</f>
        <v>24.04.2026</v>
      </c>
      <c r="D262" s="12">
        <f>IFERROR(__xludf.DUMMYFUNCTION("""COMPUTED_VALUE"""),0.6041666666678793)</f>
        <v>0.6041666667</v>
      </c>
      <c r="E262" s="12">
        <f>IFERROR(__xludf.DUMMYFUNCTION("""COMPUTED_VALUE"""),0.6666666666678793)</f>
        <v>0.6666666667</v>
      </c>
      <c r="F262" s="11" t="str">
        <f>IFERROR(__xludf.DUMMYFUNCTION("""COMPUTED_VALUE"""),"SOC341.13")</f>
        <v>SOC341.13</v>
      </c>
      <c r="G262" s="11" t="str">
        <f>IFERROR(__xludf.DUMMYFUNCTION("""COMPUTED_VALUE"""),"Engineering Ethics")</f>
        <v>Engineering Ethics</v>
      </c>
      <c r="H262" s="13">
        <f>IFERROR(__xludf.DUMMYFUNCTION("""COMPUTED_VALUE"""),28.0)</f>
        <v>28</v>
      </c>
      <c r="I262" s="11" t="str">
        <f>IFERROR(__xludf.DUMMYFUNCTION("""COMPUTED_VALUE"""),"[MEK] Mohammad Enamul Kabir")</f>
        <v>[MEK] Mohammad Enamul Kabir</v>
      </c>
      <c r="J262" s="13">
        <f t="shared" si="1"/>
        <v>1</v>
      </c>
    </row>
    <row r="263">
      <c r="A263" s="11" t="str">
        <f>IFERROR(__xludf.DUMMYFUNCTION("""COMPUTED_VALUE"""),"C")</f>
        <v>C</v>
      </c>
      <c r="B263" s="11" t="str">
        <f>IFERROR(__xludf.DUMMYFUNCTION("""COMPUTED_VALUE"""),"Slot - 06")</f>
        <v>Slot - 06</v>
      </c>
      <c r="C263" s="11" t="str">
        <f>IFERROR(__xludf.DUMMYFUNCTION("""COMPUTED_VALUE"""),"13.04.2026")</f>
        <v>13.04.2026</v>
      </c>
      <c r="D263" s="12">
        <f>IFERROR(__xludf.DUMMYFUNCTION("""COMPUTED_VALUE"""),0.6041666666678793)</f>
        <v>0.6041666667</v>
      </c>
      <c r="E263" s="12">
        <f>IFERROR(__xludf.DUMMYFUNCTION("""COMPUTED_VALUE"""),0.6666666666678793)</f>
        <v>0.6666666667</v>
      </c>
      <c r="F263" s="11" t="str">
        <f>IFERROR(__xludf.DUMMYFUNCTION("""COMPUTED_VALUE"""),"ENG103.40")</f>
        <v>ENG103.40</v>
      </c>
      <c r="G263" s="11" t="str">
        <f>IFERROR(__xludf.DUMMYFUNCTION("""COMPUTED_VALUE"""),"Advanced English Skills")</f>
        <v>Advanced English Skills</v>
      </c>
      <c r="H263" s="13">
        <f>IFERROR(__xludf.DUMMYFUNCTION("""COMPUTED_VALUE"""),39.0)</f>
        <v>39</v>
      </c>
      <c r="I263" s="11" t="str">
        <f>IFERROR(__xludf.DUMMYFUNCTION("""COMPUTED_VALUE"""),"[MFR] Md. Fozle Rabbi")</f>
        <v>[MFR] Md. Fozle Rabbi</v>
      </c>
      <c r="J263" s="13">
        <f t="shared" si="1"/>
        <v>-1</v>
      </c>
    </row>
    <row r="264">
      <c r="A264" s="11" t="str">
        <f>IFERROR(__xludf.DUMMYFUNCTION("""COMPUTED_VALUE"""),"C")</f>
        <v>C</v>
      </c>
      <c r="B264" s="11" t="str">
        <f>IFERROR(__xludf.DUMMYFUNCTION("""COMPUTED_VALUE"""),"Slot - 06")</f>
        <v>Slot - 06</v>
      </c>
      <c r="C264" s="11" t="str">
        <f>IFERROR(__xludf.DUMMYFUNCTION("""COMPUTED_VALUE"""),"13.04.2026")</f>
        <v>13.04.2026</v>
      </c>
      <c r="D264" s="12">
        <f>IFERROR(__xludf.DUMMYFUNCTION("""COMPUTED_VALUE"""),0.6041666666678793)</f>
        <v>0.6041666667</v>
      </c>
      <c r="E264" s="12">
        <f>IFERROR(__xludf.DUMMYFUNCTION("""COMPUTED_VALUE"""),0.6666666666678793)</f>
        <v>0.6666666667</v>
      </c>
      <c r="F264" s="11" t="str">
        <f>IFERROR(__xludf.DUMMYFUNCTION("""COMPUTED_VALUE"""),"ENG103.41")</f>
        <v>ENG103.41</v>
      </c>
      <c r="G264" s="11" t="str">
        <f>IFERROR(__xludf.DUMMYFUNCTION("""COMPUTED_VALUE"""),"Advanced English Skills")</f>
        <v>Advanced English Skills</v>
      </c>
      <c r="H264" s="13">
        <f>IFERROR(__xludf.DUMMYFUNCTION("""COMPUTED_VALUE"""),38.0)</f>
        <v>38</v>
      </c>
      <c r="I264" s="11" t="str">
        <f>IFERROR(__xludf.DUMMYFUNCTION("""COMPUTED_VALUE"""),"[MFR] Md. Fozle Rabbi")</f>
        <v>[MFR] Md. Fozle Rabbi</v>
      </c>
      <c r="J264" s="13">
        <f t="shared" si="1"/>
        <v>-1</v>
      </c>
    </row>
    <row r="265">
      <c r="A265" s="11" t="str">
        <f>IFERROR(__xludf.DUMMYFUNCTION("""COMPUTED_VALUE"""),"C")</f>
        <v>C</v>
      </c>
      <c r="B265" s="11" t="str">
        <f>IFERROR(__xludf.DUMMYFUNCTION("""COMPUTED_VALUE"""),"Slot - 05")</f>
        <v>Slot - 05</v>
      </c>
      <c r="C265" s="11" t="str">
        <f>IFERROR(__xludf.DUMMYFUNCTION("""COMPUTED_VALUE"""),"13.04.2026")</f>
        <v>13.04.2026</v>
      </c>
      <c r="D265" s="12">
        <f>IFERROR(__xludf.DUMMYFUNCTION("""COMPUTED_VALUE"""),0.4791666666678793)</f>
        <v>0.4791666667</v>
      </c>
      <c r="E265" s="12">
        <f>IFERROR(__xludf.DUMMYFUNCTION("""COMPUTED_VALUE"""),0.5416666666678793)</f>
        <v>0.5416666667</v>
      </c>
      <c r="F265" s="11" t="str">
        <f>IFERROR(__xludf.DUMMYFUNCTION("""COMPUTED_VALUE"""),"CSE241.3")</f>
        <v>CSE241.3</v>
      </c>
      <c r="G265" s="11" t="str">
        <f>IFERROR(__xludf.DUMMYFUNCTION("""COMPUTED_VALUE"""),"Data Structures")</f>
        <v>Data Structures</v>
      </c>
      <c r="H265" s="13">
        <f>IFERROR(__xludf.DUMMYFUNCTION("""COMPUTED_VALUE"""),31.0)</f>
        <v>31</v>
      </c>
      <c r="I265" s="11" t="str">
        <f>IFERROR(__xludf.DUMMYFUNCTION("""COMPUTED_VALUE"""),"[MHB] Md. Habibullah Belali")</f>
        <v>[MHB] Md. Habibullah Belali</v>
      </c>
      <c r="J265" s="13">
        <f t="shared" si="1"/>
        <v>1</v>
      </c>
    </row>
    <row r="266">
      <c r="A266" s="11" t="str">
        <f>IFERROR(__xludf.DUMMYFUNCTION("""COMPUTED_VALUE"""),"C")</f>
        <v>C</v>
      </c>
      <c r="B266" s="11" t="str">
        <f>IFERROR(__xludf.DUMMYFUNCTION("""COMPUTED_VALUE"""),"Slot - 05")</f>
        <v>Slot - 05</v>
      </c>
      <c r="C266" s="11" t="str">
        <f>IFERROR(__xludf.DUMMYFUNCTION("""COMPUTED_VALUE"""),"13.04.2026")</f>
        <v>13.04.2026</v>
      </c>
      <c r="D266" s="12">
        <f>IFERROR(__xludf.DUMMYFUNCTION("""COMPUTED_VALUE"""),0.4791666666678793)</f>
        <v>0.4791666667</v>
      </c>
      <c r="E266" s="12">
        <f>IFERROR(__xludf.DUMMYFUNCTION("""COMPUTED_VALUE"""),0.5416666666678793)</f>
        <v>0.5416666667</v>
      </c>
      <c r="F266" s="11" t="str">
        <f>IFERROR(__xludf.DUMMYFUNCTION("""COMPUTED_VALUE"""),"CSE241.4")</f>
        <v>CSE241.4</v>
      </c>
      <c r="G266" s="11" t="str">
        <f>IFERROR(__xludf.DUMMYFUNCTION("""COMPUTED_VALUE"""),"Data Structures")</f>
        <v>Data Structures</v>
      </c>
      <c r="H266" s="13">
        <f>IFERROR(__xludf.DUMMYFUNCTION("""COMPUTED_VALUE"""),31.0)</f>
        <v>31</v>
      </c>
      <c r="I266" s="11" t="str">
        <f>IFERROR(__xludf.DUMMYFUNCTION("""COMPUTED_VALUE"""),"[MHB] Md. Habibullah Belali")</f>
        <v>[MHB] Md. Habibullah Belali</v>
      </c>
      <c r="J266" s="13">
        <f t="shared" si="1"/>
        <v>1</v>
      </c>
    </row>
    <row r="267">
      <c r="A267" s="11" t="str">
        <f>IFERROR(__xludf.DUMMYFUNCTION("""COMPUTED_VALUE"""),"C")</f>
        <v>C</v>
      </c>
      <c r="B267" s="11" t="str">
        <f>IFERROR(__xludf.DUMMYFUNCTION("""COMPUTED_VALUE"""),"Slot - 05")</f>
        <v>Slot - 05</v>
      </c>
      <c r="C267" s="11" t="str">
        <f>IFERROR(__xludf.DUMMYFUNCTION("""COMPUTED_VALUE"""),"13.04.2026")</f>
        <v>13.04.2026</v>
      </c>
      <c r="D267" s="12">
        <f>IFERROR(__xludf.DUMMYFUNCTION("""COMPUTED_VALUE"""),0.4791666666678793)</f>
        <v>0.4791666667</v>
      </c>
      <c r="E267" s="12">
        <f>IFERROR(__xludf.DUMMYFUNCTION("""COMPUTED_VALUE"""),0.5416666666678793)</f>
        <v>0.5416666667</v>
      </c>
      <c r="F267" s="11" t="str">
        <f>IFERROR(__xludf.DUMMYFUNCTION("""COMPUTED_VALUE"""),"CSE241.5")</f>
        <v>CSE241.5</v>
      </c>
      <c r="G267" s="11" t="str">
        <f>IFERROR(__xludf.DUMMYFUNCTION("""COMPUTED_VALUE"""),"Data Structures")</f>
        <v>Data Structures</v>
      </c>
      <c r="H267" s="13">
        <f>IFERROR(__xludf.DUMMYFUNCTION("""COMPUTED_VALUE"""),31.0)</f>
        <v>31</v>
      </c>
      <c r="I267" s="11" t="str">
        <f>IFERROR(__xludf.DUMMYFUNCTION("""COMPUTED_VALUE"""),"[MHB] Md. Habibullah Belali")</f>
        <v>[MHB] Md. Habibullah Belali</v>
      </c>
      <c r="J267" s="13">
        <f t="shared" si="1"/>
        <v>1</v>
      </c>
    </row>
    <row r="268">
      <c r="A268" s="11" t="str">
        <f>IFERROR(__xludf.DUMMYFUNCTION("""COMPUTED_VALUE"""),"C")</f>
        <v>C</v>
      </c>
      <c r="B268" s="11" t="str">
        <f>IFERROR(__xludf.DUMMYFUNCTION("""COMPUTED_VALUE"""),"Slot - 09")</f>
        <v>Slot - 09</v>
      </c>
      <c r="C268" s="11" t="str">
        <f>IFERROR(__xludf.DUMMYFUNCTION("""COMPUTED_VALUE"""),"15.04.2026")</f>
        <v>15.04.2026</v>
      </c>
      <c r="D268" s="12">
        <f>IFERROR(__xludf.DUMMYFUNCTION("""COMPUTED_VALUE"""),0.6041666666678793)</f>
        <v>0.6041666667</v>
      </c>
      <c r="E268" s="12">
        <f>IFERROR(__xludf.DUMMYFUNCTION("""COMPUTED_VALUE"""),0.6666666666678793)</f>
        <v>0.6666666667</v>
      </c>
      <c r="F268" s="11" t="str">
        <f>IFERROR(__xludf.DUMMYFUNCTION("""COMPUTED_VALUE"""),"CSE383.4")</f>
        <v>CSE383.4</v>
      </c>
      <c r="G268" s="11" t="str">
        <f>IFERROR(__xludf.DUMMYFUNCTION("""COMPUTED_VALUE"""),"Database Design")</f>
        <v>Database Design</v>
      </c>
      <c r="H268" s="13">
        <f>IFERROR(__xludf.DUMMYFUNCTION("""COMPUTED_VALUE"""),39.0)</f>
        <v>39</v>
      </c>
      <c r="I268" s="11" t="str">
        <f>IFERROR(__xludf.DUMMYFUNCTION("""COMPUTED_VALUE"""),"[MHSU] Mahjabin Sultana")</f>
        <v>[MHSU] Mahjabin Sultana</v>
      </c>
      <c r="J268" s="13">
        <f t="shared" si="1"/>
        <v>-1</v>
      </c>
    </row>
    <row r="269">
      <c r="A269" s="11" t="str">
        <f>IFERROR(__xludf.DUMMYFUNCTION("""COMPUTED_VALUE"""),"C")</f>
        <v>C</v>
      </c>
      <c r="B269" s="11" t="str">
        <f>IFERROR(__xludf.DUMMYFUNCTION("""COMPUTED_VALUE"""),"Slot - 22")</f>
        <v>Slot - 22</v>
      </c>
      <c r="C269" s="11" t="str">
        <f>IFERROR(__xludf.DUMMYFUNCTION("""COMPUTED_VALUE"""),"21.04.2026")</f>
        <v>21.04.2026</v>
      </c>
      <c r="D269" s="12">
        <f>IFERROR(__xludf.DUMMYFUNCTION("""COMPUTED_VALUE"""),0.3541666666678793)</f>
        <v>0.3541666667</v>
      </c>
      <c r="E269" s="12">
        <f>IFERROR(__xludf.DUMMYFUNCTION("""COMPUTED_VALUE"""),0.4166666666678793)</f>
        <v>0.4166666667</v>
      </c>
      <c r="F269" s="11" t="str">
        <f>IFERROR(__xludf.DUMMYFUNCTION("""COMPUTED_VALUE"""),"CSE443.1")</f>
        <v>CSE443.1</v>
      </c>
      <c r="G269" s="11" t="str">
        <f>IFERROR(__xludf.DUMMYFUNCTION("""COMPUTED_VALUE"""),"Computer Graphics &amp; Animation")</f>
        <v>Computer Graphics &amp; Animation</v>
      </c>
      <c r="H269" s="13">
        <f>IFERROR(__xludf.DUMMYFUNCTION("""COMPUTED_VALUE"""),40.0)</f>
        <v>40</v>
      </c>
      <c r="I269" s="11" t="str">
        <f>IFERROR(__xludf.DUMMYFUNCTION("""COMPUTED_VALUE"""),"[MHSU] Mahjabin Sultana")</f>
        <v>[MHSU] Mahjabin Sultana</v>
      </c>
      <c r="J269" s="13">
        <f t="shared" si="1"/>
        <v>-1</v>
      </c>
    </row>
    <row r="270">
      <c r="A270" s="11" t="str">
        <f>IFERROR(__xludf.DUMMYFUNCTION("""COMPUTED_VALUE"""),"C")</f>
        <v>C</v>
      </c>
      <c r="B270" s="11" t="str">
        <f>IFERROR(__xludf.DUMMYFUNCTION("""COMPUTED_VALUE"""),"Slot - 22")</f>
        <v>Slot - 22</v>
      </c>
      <c r="C270" s="11" t="str">
        <f>IFERROR(__xludf.DUMMYFUNCTION("""COMPUTED_VALUE"""),"21.04.2026")</f>
        <v>21.04.2026</v>
      </c>
      <c r="D270" s="12">
        <f>IFERROR(__xludf.DUMMYFUNCTION("""COMPUTED_VALUE"""),0.3541666666678793)</f>
        <v>0.3541666667</v>
      </c>
      <c r="E270" s="12">
        <f>IFERROR(__xludf.DUMMYFUNCTION("""COMPUTED_VALUE"""),0.4166666666678793)</f>
        <v>0.4166666667</v>
      </c>
      <c r="F270" s="11" t="str">
        <f>IFERROR(__xludf.DUMMYFUNCTION("""COMPUTED_VALUE"""),"CSE443.2")</f>
        <v>CSE443.2</v>
      </c>
      <c r="G270" s="11" t="str">
        <f>IFERROR(__xludf.DUMMYFUNCTION("""COMPUTED_VALUE"""),"Computer Graphics &amp; Animation")</f>
        <v>Computer Graphics &amp; Animation</v>
      </c>
      <c r="H270" s="13">
        <f>IFERROR(__xludf.DUMMYFUNCTION("""COMPUTED_VALUE"""),40.0)</f>
        <v>40</v>
      </c>
      <c r="I270" s="11" t="str">
        <f>IFERROR(__xludf.DUMMYFUNCTION("""COMPUTED_VALUE"""),"[MHSU] Mahjabin Sultana")</f>
        <v>[MHSU] Mahjabin Sultana</v>
      </c>
      <c r="J270" s="13">
        <f t="shared" si="1"/>
        <v>-1</v>
      </c>
    </row>
    <row r="271">
      <c r="A271" s="11" t="str">
        <f>IFERROR(__xludf.DUMMYFUNCTION("""COMPUTED_VALUE"""),"C")</f>
        <v>C</v>
      </c>
      <c r="B271" s="11" t="str">
        <f>IFERROR(__xludf.DUMMYFUNCTION("""COMPUTED_VALUE"""),"Slot - 04")</f>
        <v>Slot - 04</v>
      </c>
      <c r="C271" s="11" t="str">
        <f>IFERROR(__xludf.DUMMYFUNCTION("""COMPUTED_VALUE"""),"13.04.2026")</f>
        <v>13.04.2026</v>
      </c>
      <c r="D271" s="12">
        <f>IFERROR(__xludf.DUMMYFUNCTION("""COMPUTED_VALUE"""),0.3541666666678793)</f>
        <v>0.3541666667</v>
      </c>
      <c r="E271" s="12">
        <f>IFERROR(__xludf.DUMMYFUNCTION("""COMPUTED_VALUE"""),0.4166666666678793)</f>
        <v>0.4166666667</v>
      </c>
      <c r="F271" s="11" t="str">
        <f>IFERROR(__xludf.DUMMYFUNCTION("""COMPUTED_VALUE"""),"ELL1303.9")</f>
        <v>ELL1303.9</v>
      </c>
      <c r="G271" s="11" t="str">
        <f>IFERROR(__xludf.DUMMYFUNCTION("""COMPUTED_VALUE"""),"Advanced English Skills")</f>
        <v>Advanced English Skills</v>
      </c>
      <c r="H271" s="13">
        <f>IFERROR(__xludf.DUMMYFUNCTION("""COMPUTED_VALUE"""),31.0)</f>
        <v>31</v>
      </c>
      <c r="I271" s="11" t="str">
        <f>IFERROR(__xludf.DUMMYFUNCTION("""COMPUTED_VALUE"""),"[MHTL] Mehedi Hassan Talukder")</f>
        <v>[MHTL] Mehedi Hassan Talukder</v>
      </c>
      <c r="J271" s="13">
        <f t="shared" si="1"/>
        <v>1</v>
      </c>
    </row>
    <row r="272">
      <c r="A272" s="11" t="str">
        <f>IFERROR(__xludf.DUMMYFUNCTION("""COMPUTED_VALUE"""),"C")</f>
        <v>C</v>
      </c>
      <c r="B272" s="11" t="str">
        <f>IFERROR(__xludf.DUMMYFUNCTION("""COMPUTED_VALUE"""),"Slot - 05")</f>
        <v>Slot - 05</v>
      </c>
      <c r="C272" s="11" t="str">
        <f>IFERROR(__xludf.DUMMYFUNCTION("""COMPUTED_VALUE"""),"13.04.2026")</f>
        <v>13.04.2026</v>
      </c>
      <c r="D272" s="12">
        <f>IFERROR(__xludf.DUMMYFUNCTION("""COMPUTED_VALUE"""),0.4791666666678793)</f>
        <v>0.4791666667</v>
      </c>
      <c r="E272" s="12">
        <f>IFERROR(__xludf.DUMMYFUNCTION("""COMPUTED_VALUE"""),0.5416666666678793)</f>
        <v>0.5416666667</v>
      </c>
      <c r="F272" s="11" t="str">
        <f>IFERROR(__xludf.DUMMYFUNCTION("""COMPUTED_VALUE"""),"ENG102.30")</f>
        <v>ENG102.30</v>
      </c>
      <c r="G272" s="11" t="str">
        <f>IFERROR(__xludf.DUMMYFUNCTION("""COMPUTED_VALUE"""),"Intermediate English Skills")</f>
        <v>Intermediate English Skills</v>
      </c>
      <c r="H272" s="13">
        <f>IFERROR(__xludf.DUMMYFUNCTION("""COMPUTED_VALUE"""),37.0)</f>
        <v>37</v>
      </c>
      <c r="I272" s="11" t="str">
        <f>IFERROR(__xludf.DUMMYFUNCTION("""COMPUTED_VALUE"""),"[MHTL] Mehedi Hassan Talukder")</f>
        <v>[MHTL] Mehedi Hassan Talukder</v>
      </c>
      <c r="J272" s="13">
        <f t="shared" si="1"/>
        <v>1</v>
      </c>
    </row>
    <row r="273">
      <c r="A273" s="11" t="str">
        <f>IFERROR(__xludf.DUMMYFUNCTION("""COMPUTED_VALUE"""),"C")</f>
        <v>C</v>
      </c>
      <c r="B273" s="11" t="str">
        <f>IFERROR(__xludf.DUMMYFUNCTION("""COMPUTED_VALUE"""),"Slot - 22")</f>
        <v>Slot - 22</v>
      </c>
      <c r="C273" s="11" t="str">
        <f>IFERROR(__xludf.DUMMYFUNCTION("""COMPUTED_VALUE"""),"21.04.2026")</f>
        <v>21.04.2026</v>
      </c>
      <c r="D273" s="12">
        <f>IFERROR(__xludf.DUMMYFUNCTION("""COMPUTED_VALUE"""),0.3541666666678793)</f>
        <v>0.3541666667</v>
      </c>
      <c r="E273" s="12">
        <f>IFERROR(__xludf.DUMMYFUNCTION("""COMPUTED_VALUE"""),0.4166666666678793)</f>
        <v>0.4166666667</v>
      </c>
      <c r="F273" s="11" t="str">
        <f>IFERROR(__xludf.DUMMYFUNCTION("""COMPUTED_VALUE"""),"CSE363.6")</f>
        <v>CSE363.6</v>
      </c>
      <c r="G273" s="11" t="str">
        <f>IFERROR(__xludf.DUMMYFUNCTION("""COMPUTED_VALUE"""),"Microprocessor Design &amp; Assembly Language Programming")</f>
        <v>Microprocessor Design &amp; Assembly Language Programming</v>
      </c>
      <c r="H273" s="13">
        <f>IFERROR(__xludf.DUMMYFUNCTION("""COMPUTED_VALUE"""),38.0)</f>
        <v>38</v>
      </c>
      <c r="I273" s="11" t="str">
        <f>IFERROR(__xludf.DUMMYFUNCTION("""COMPUTED_VALUE"""),"[MHZ] Md. Zahid Hossain")</f>
        <v>[MHZ] Md. Zahid Hossain</v>
      </c>
      <c r="J273" s="13">
        <f t="shared" si="1"/>
        <v>-1</v>
      </c>
    </row>
    <row r="274">
      <c r="A274" s="11" t="str">
        <f>IFERROR(__xludf.DUMMYFUNCTION("""COMPUTED_VALUE"""),"C")</f>
        <v>C</v>
      </c>
      <c r="B274" s="11" t="str">
        <f>IFERROR(__xludf.DUMMYFUNCTION("""COMPUTED_VALUE"""),"Slot - 22")</f>
        <v>Slot - 22</v>
      </c>
      <c r="C274" s="11" t="str">
        <f>IFERROR(__xludf.DUMMYFUNCTION("""COMPUTED_VALUE"""),"21.04.2026")</f>
        <v>21.04.2026</v>
      </c>
      <c r="D274" s="12">
        <f>IFERROR(__xludf.DUMMYFUNCTION("""COMPUTED_VALUE"""),0.3541666666678793)</f>
        <v>0.3541666667</v>
      </c>
      <c r="E274" s="12">
        <f>IFERROR(__xludf.DUMMYFUNCTION("""COMPUTED_VALUE"""),0.4166666666678793)</f>
        <v>0.4166666667</v>
      </c>
      <c r="F274" s="11" t="str">
        <f>IFERROR(__xludf.DUMMYFUNCTION("""COMPUTED_VALUE"""),"CSE363.7")</f>
        <v>CSE363.7</v>
      </c>
      <c r="G274" s="11" t="str">
        <f>IFERROR(__xludf.DUMMYFUNCTION("""COMPUTED_VALUE"""),"Microprocessor Design &amp; Assembly Language Programming")</f>
        <v>Microprocessor Design &amp; Assembly Language Programming</v>
      </c>
      <c r="H274" s="13">
        <f>IFERROR(__xludf.DUMMYFUNCTION("""COMPUTED_VALUE"""),16.0)</f>
        <v>16</v>
      </c>
      <c r="I274" s="11" t="str">
        <f>IFERROR(__xludf.DUMMYFUNCTION("""COMPUTED_VALUE"""),"[MHZ] Md. Zahid Hossain")</f>
        <v>[MHZ] Md. Zahid Hossain</v>
      </c>
      <c r="J274" s="13">
        <f t="shared" si="1"/>
        <v>-1</v>
      </c>
    </row>
    <row r="275">
      <c r="A275" s="11" t="str">
        <f>IFERROR(__xludf.DUMMYFUNCTION("""COMPUTED_VALUE"""),"C")</f>
        <v>C</v>
      </c>
      <c r="B275" s="11" t="str">
        <f>IFERROR(__xludf.DUMMYFUNCTION("""COMPUTED_VALUE"""),"Slot - 08")</f>
        <v>Slot - 08</v>
      </c>
      <c r="C275" s="11" t="str">
        <f>IFERROR(__xludf.DUMMYFUNCTION("""COMPUTED_VALUE"""),"15.04.2026")</f>
        <v>15.04.2026</v>
      </c>
      <c r="D275" s="12">
        <f>IFERROR(__xludf.DUMMYFUNCTION("""COMPUTED_VALUE"""),0.4791666666678793)</f>
        <v>0.4791666667</v>
      </c>
      <c r="E275" s="12">
        <f>IFERROR(__xludf.DUMMYFUNCTION("""COMPUTED_VALUE"""),0.5416666666678793)</f>
        <v>0.5416666667</v>
      </c>
      <c r="F275" s="11" t="str">
        <f>IFERROR(__xludf.DUMMYFUNCTION("""COMPUTED_VALUE"""),"CSE261.5")</f>
        <v>CSE261.5</v>
      </c>
      <c r="G275" s="11" t="str">
        <f>IFERROR(__xludf.DUMMYFUNCTION("""COMPUTED_VALUE"""),"Numerical Methods")</f>
        <v>Numerical Methods</v>
      </c>
      <c r="H275" s="13">
        <f>IFERROR(__xludf.DUMMYFUNCTION("""COMPUTED_VALUE"""),39.0)</f>
        <v>39</v>
      </c>
      <c r="I275" s="11" t="str">
        <f>IFERROR(__xludf.DUMMYFUNCTION("""COMPUTED_VALUE"""),"[MIF] Miftahul Sheikh")</f>
        <v>[MIF] Miftahul Sheikh</v>
      </c>
      <c r="J275" s="13">
        <f t="shared" si="1"/>
        <v>1</v>
      </c>
    </row>
    <row r="276">
      <c r="A276" s="11" t="str">
        <f>IFERROR(__xludf.DUMMYFUNCTION("""COMPUTED_VALUE"""),"C")</f>
        <v>C</v>
      </c>
      <c r="B276" s="11" t="str">
        <f>IFERROR(__xludf.DUMMYFUNCTION("""COMPUTED_VALUE"""),"Slot - 08")</f>
        <v>Slot - 08</v>
      </c>
      <c r="C276" s="11" t="str">
        <f>IFERROR(__xludf.DUMMYFUNCTION("""COMPUTED_VALUE"""),"15.04.2026")</f>
        <v>15.04.2026</v>
      </c>
      <c r="D276" s="12">
        <f>IFERROR(__xludf.DUMMYFUNCTION("""COMPUTED_VALUE"""),0.4791666666678793)</f>
        <v>0.4791666667</v>
      </c>
      <c r="E276" s="12">
        <f>IFERROR(__xludf.DUMMYFUNCTION("""COMPUTED_VALUE"""),0.5416666666678793)</f>
        <v>0.5416666667</v>
      </c>
      <c r="F276" s="11" t="str">
        <f>IFERROR(__xludf.DUMMYFUNCTION("""COMPUTED_VALUE"""),"CSE261.6")</f>
        <v>CSE261.6</v>
      </c>
      <c r="G276" s="11" t="str">
        <f>IFERROR(__xludf.DUMMYFUNCTION("""COMPUTED_VALUE"""),"Numerical Methods")</f>
        <v>Numerical Methods</v>
      </c>
      <c r="H276" s="13">
        <f>IFERROR(__xludf.DUMMYFUNCTION("""COMPUTED_VALUE"""),33.0)</f>
        <v>33</v>
      </c>
      <c r="I276" s="11" t="str">
        <f>IFERROR(__xludf.DUMMYFUNCTION("""COMPUTED_VALUE"""),"[MIF] Miftahul Sheikh")</f>
        <v>[MIF] Miftahul Sheikh</v>
      </c>
      <c r="J276" s="13">
        <f t="shared" si="1"/>
        <v>1</v>
      </c>
    </row>
    <row r="277">
      <c r="A277" s="11" t="str">
        <f>IFERROR(__xludf.DUMMYFUNCTION("""COMPUTED_VALUE"""),"C")</f>
        <v>C</v>
      </c>
      <c r="B277" s="11" t="str">
        <f>IFERROR(__xludf.DUMMYFUNCTION("""COMPUTED_VALUE"""),"Slot - 02")</f>
        <v>Slot - 02</v>
      </c>
      <c r="C277" s="11" t="str">
        <f>IFERROR(__xludf.DUMMYFUNCTION("""COMPUTED_VALUE"""),"12.04.2026")</f>
        <v>12.04.2026</v>
      </c>
      <c r="D277" s="12">
        <f>IFERROR(__xludf.DUMMYFUNCTION("""COMPUTED_VALUE"""),0.4791666666678793)</f>
        <v>0.4791666667</v>
      </c>
      <c r="E277" s="12">
        <f>IFERROR(__xludf.DUMMYFUNCTION("""COMPUTED_VALUE"""),0.5416666666678793)</f>
        <v>0.5416666667</v>
      </c>
      <c r="F277" s="11" t="str">
        <f>IFERROR(__xludf.DUMMYFUNCTION("""COMPUTED_VALUE"""),"CSE383.9")</f>
        <v>CSE383.9</v>
      </c>
      <c r="G277" s="11" t="str">
        <f>IFERROR(__xludf.DUMMYFUNCTION("""COMPUTED_VALUE"""),"Database Design")</f>
        <v>Database Design</v>
      </c>
      <c r="H277" s="13">
        <f>IFERROR(__xludf.DUMMYFUNCTION("""COMPUTED_VALUE"""),30.0)</f>
        <v>30</v>
      </c>
      <c r="I277" s="11" t="str">
        <f>IFERROR(__xludf.DUMMYFUNCTION("""COMPUTED_VALUE"""),"[MISK] Misbahul Sheikh")</f>
        <v>[MISK] Misbahul Sheikh</v>
      </c>
      <c r="J277" s="13">
        <f t="shared" si="1"/>
        <v>-1</v>
      </c>
    </row>
    <row r="278">
      <c r="A278" s="11" t="str">
        <f>IFERROR(__xludf.DUMMYFUNCTION("""COMPUTED_VALUE"""),"C")</f>
        <v>C</v>
      </c>
      <c r="B278" s="11" t="str">
        <f>IFERROR(__xludf.DUMMYFUNCTION("""COMPUTED_VALUE"""),"Slot - 02")</f>
        <v>Slot - 02</v>
      </c>
      <c r="C278" s="11" t="str">
        <f>IFERROR(__xludf.DUMMYFUNCTION("""COMPUTED_VALUE"""),"12.04.2026")</f>
        <v>12.04.2026</v>
      </c>
      <c r="D278" s="12">
        <f>IFERROR(__xludf.DUMMYFUNCTION("""COMPUTED_VALUE"""),0.4791666666678793)</f>
        <v>0.4791666667</v>
      </c>
      <c r="E278" s="12">
        <f>IFERROR(__xludf.DUMMYFUNCTION("""COMPUTED_VALUE"""),0.5416666666678793)</f>
        <v>0.5416666667</v>
      </c>
      <c r="F278" s="11" t="str">
        <f>IFERROR(__xludf.DUMMYFUNCTION("""COMPUTED_VALUE"""),"CSE383.10")</f>
        <v>CSE383.10</v>
      </c>
      <c r="G278" s="11" t="str">
        <f>IFERROR(__xludf.DUMMYFUNCTION("""COMPUTED_VALUE"""),"Database Design")</f>
        <v>Database Design</v>
      </c>
      <c r="H278" s="13">
        <f>IFERROR(__xludf.DUMMYFUNCTION("""COMPUTED_VALUE"""),39.0)</f>
        <v>39</v>
      </c>
      <c r="I278" s="11" t="str">
        <f>IFERROR(__xludf.DUMMYFUNCTION("""COMPUTED_VALUE"""),"[MISK] Misbahul Sheikh")</f>
        <v>[MISK] Misbahul Sheikh</v>
      </c>
      <c r="J278" s="13">
        <f t="shared" si="1"/>
        <v>-1</v>
      </c>
    </row>
    <row r="279">
      <c r="A279" s="11" t="str">
        <f>IFERROR(__xludf.DUMMYFUNCTION("""COMPUTED_VALUE"""),"D")</f>
        <v>D</v>
      </c>
      <c r="B279" s="11" t="str">
        <f>IFERROR(__xludf.DUMMYFUNCTION("""COMPUTED_VALUE"""),"Slot - H")</f>
        <v>Slot - H</v>
      </c>
      <c r="C279" s="11" t="str">
        <f>IFERROR(__xludf.DUMMYFUNCTION("""COMPUTED_VALUE"""),"24.04.2026")</f>
        <v>24.04.2026</v>
      </c>
      <c r="D279" s="12">
        <f>IFERROR(__xludf.DUMMYFUNCTION("""COMPUTED_VALUE"""),0.4791666666678793)</f>
        <v>0.4791666667</v>
      </c>
      <c r="E279" s="12">
        <f>IFERROR(__xludf.DUMMYFUNCTION("""COMPUTED_VALUE"""),0.5416666666678793)</f>
        <v>0.5416666667</v>
      </c>
      <c r="F279" s="11" t="str">
        <f>IFERROR(__xludf.DUMMYFUNCTION("""COMPUTED_VALUE"""),"MAT261.13")</f>
        <v>MAT261.13</v>
      </c>
      <c r="G279" s="11" t="str">
        <f>IFERROR(__xludf.DUMMYFUNCTION("""COMPUTED_VALUE"""),"Linear Algebra and Matrices")</f>
        <v>Linear Algebra and Matrices</v>
      </c>
      <c r="H279" s="13">
        <f>IFERROR(__xludf.DUMMYFUNCTION("""COMPUTED_VALUE"""),29.0)</f>
        <v>29</v>
      </c>
      <c r="I279" s="11" t="str">
        <f>IFERROR(__xludf.DUMMYFUNCTION("""COMPUTED_VALUE"""),"[MKP] Mrityunjoy Kumar Pandit")</f>
        <v>[MKP] Mrityunjoy Kumar Pandit</v>
      </c>
      <c r="J279" s="13">
        <f t="shared" si="1"/>
        <v>1</v>
      </c>
    </row>
    <row r="280">
      <c r="A280" s="11" t="str">
        <f>IFERROR(__xludf.DUMMYFUNCTION("""COMPUTED_VALUE"""),"D")</f>
        <v>D</v>
      </c>
      <c r="B280" s="11" t="str">
        <f>IFERROR(__xludf.DUMMYFUNCTION("""COMPUTED_VALUE"""),"Slot - O")</f>
        <v>Slot - O</v>
      </c>
      <c r="C280" s="11" t="str">
        <f>IFERROR(__xludf.DUMMYFUNCTION("""COMPUTED_VALUE"""),"25.04.2026")</f>
        <v>25.04.2026</v>
      </c>
      <c r="D280" s="12">
        <f>IFERROR(__xludf.DUMMYFUNCTION("""COMPUTED_VALUE"""),0.7916666666678793)</f>
        <v>0.7916666667</v>
      </c>
      <c r="E280" s="12">
        <f>IFERROR(__xludf.DUMMYFUNCTION("""COMPUTED_VALUE"""),0.8541666666678793)</f>
        <v>0.8541666667</v>
      </c>
      <c r="F280" s="11" t="str">
        <f>IFERROR(__xludf.DUMMYFUNCTION("""COMPUTED_VALUE"""),"MAT261.12")</f>
        <v>MAT261.12</v>
      </c>
      <c r="G280" s="11" t="str">
        <f>IFERROR(__xludf.DUMMYFUNCTION("""COMPUTED_VALUE"""),"Linear Algebra and Matrices")</f>
        <v>Linear Algebra and Matrices</v>
      </c>
      <c r="H280" s="13">
        <f>IFERROR(__xludf.DUMMYFUNCTION("""COMPUTED_VALUE"""),27.0)</f>
        <v>27</v>
      </c>
      <c r="I280" s="11" t="str">
        <f>IFERROR(__xludf.DUMMYFUNCTION("""COMPUTED_VALUE"""),"[MKP] Mrityunjoy Kumar Pandit")</f>
        <v>[MKP] Mrityunjoy Kumar Pandit</v>
      </c>
      <c r="J280" s="13">
        <f t="shared" si="1"/>
        <v>1</v>
      </c>
    </row>
    <row r="281">
      <c r="A281" s="11" t="str">
        <f>IFERROR(__xludf.DUMMYFUNCTION("""COMPUTED_VALUE"""),"D")</f>
        <v>D</v>
      </c>
      <c r="B281" s="11" t="str">
        <f>IFERROR(__xludf.DUMMYFUNCTION("""COMPUTED_VALUE"""),"Slot - K")</f>
        <v>Slot - K</v>
      </c>
      <c r="C281" s="11" t="str">
        <f>IFERROR(__xludf.DUMMYFUNCTION("""COMPUTED_VALUE"""),"25.04.2026")</f>
        <v>25.04.2026</v>
      </c>
      <c r="D281" s="12">
        <f>IFERROR(__xludf.DUMMYFUNCTION("""COMPUTED_VALUE"""),0.3541666666678793)</f>
        <v>0.3541666667</v>
      </c>
      <c r="E281" s="12">
        <f>IFERROR(__xludf.DUMMYFUNCTION("""COMPUTED_VALUE"""),0.4166666666678793)</f>
        <v>0.4166666667</v>
      </c>
      <c r="F281" s="11" t="str">
        <f>IFERROR(__xludf.DUMMYFUNCTION("""COMPUTED_VALUE"""),"CSE361.7")</f>
        <v>CSE361.7</v>
      </c>
      <c r="G281" s="11" t="str">
        <f>IFERROR(__xludf.DUMMYFUNCTION("""COMPUTED_VALUE"""),"Operating Systems")</f>
        <v>Operating Systems</v>
      </c>
      <c r="H281" s="13">
        <f>IFERROR(__xludf.DUMMYFUNCTION("""COMPUTED_VALUE"""),36.0)</f>
        <v>36</v>
      </c>
      <c r="I281" s="11" t="str">
        <f>IFERROR(__xludf.DUMMYFUNCTION("""COMPUTED_VALUE"""),"[MMH] Md Moinul Hoque")</f>
        <v>[MMH] Md Moinul Hoque</v>
      </c>
      <c r="J281" s="13">
        <f t="shared" si="1"/>
        <v>-1</v>
      </c>
    </row>
    <row r="282">
      <c r="A282" s="11" t="str">
        <f>IFERROR(__xludf.DUMMYFUNCTION("""COMPUTED_VALUE"""),"D")</f>
        <v>D</v>
      </c>
      <c r="B282" s="11" t="str">
        <f>IFERROR(__xludf.DUMMYFUNCTION("""COMPUTED_VALUE"""),"Slot - M")</f>
        <v>Slot - M</v>
      </c>
      <c r="C282" s="11" t="str">
        <f>IFERROR(__xludf.DUMMYFUNCTION("""COMPUTED_VALUE"""),"25.04.2026")</f>
        <v>25.04.2026</v>
      </c>
      <c r="D282" s="12">
        <f>IFERROR(__xludf.DUMMYFUNCTION("""COMPUTED_VALUE"""),0.5625)</f>
        <v>0.5625</v>
      </c>
      <c r="E282" s="12">
        <f>IFERROR(__xludf.DUMMYFUNCTION("""COMPUTED_VALUE"""),0.625)</f>
        <v>0.625</v>
      </c>
      <c r="F282" s="11" t="str">
        <f>IFERROR(__xludf.DUMMYFUNCTION("""COMPUTED_VALUE"""),"CSE3031.1")</f>
        <v>CSE3031.1</v>
      </c>
      <c r="G282" s="11" t="str">
        <f>IFERROR(__xludf.DUMMYFUNCTION("""COMPUTED_VALUE"""),"Operating systems")</f>
        <v>Operating systems</v>
      </c>
      <c r="H282" s="13">
        <f>IFERROR(__xludf.DUMMYFUNCTION("""COMPUTED_VALUE"""),1.0)</f>
        <v>1</v>
      </c>
      <c r="I282" s="11" t="str">
        <f>IFERROR(__xludf.DUMMYFUNCTION("""COMPUTED_VALUE"""),"[MMH] Md Moinul Hoque")</f>
        <v>[MMH] Md Moinul Hoque</v>
      </c>
      <c r="J282" s="13">
        <f t="shared" si="1"/>
        <v>-1</v>
      </c>
    </row>
    <row r="283">
      <c r="A283" s="11" t="str">
        <f>IFERROR(__xludf.DUMMYFUNCTION("""COMPUTED_VALUE"""),"C")</f>
        <v>C</v>
      </c>
      <c r="B283" s="11" t="str">
        <f>IFERROR(__xludf.DUMMYFUNCTION("""COMPUTED_VALUE"""),"Slot - 14")</f>
        <v>Slot - 14</v>
      </c>
      <c r="C283" s="11" t="str">
        <f>IFERROR(__xludf.DUMMYFUNCTION("""COMPUTED_VALUE"""),"18.04.2026")</f>
        <v>18.04.2026</v>
      </c>
      <c r="D283" s="12">
        <f>IFERROR(__xludf.DUMMYFUNCTION("""COMPUTED_VALUE"""),0.4583333333321207)</f>
        <v>0.4583333333</v>
      </c>
      <c r="E283" s="12">
        <f>IFERROR(__xludf.DUMMYFUNCTION("""COMPUTED_VALUE"""),0.5208333333321207)</f>
        <v>0.5208333333</v>
      </c>
      <c r="F283" s="11" t="str">
        <f>IFERROR(__xludf.DUMMYFUNCTION("""COMPUTED_VALUE"""),"CSE353.1")</f>
        <v>CSE353.1</v>
      </c>
      <c r="G283" s="11" t="str">
        <f>IFERROR(__xludf.DUMMYFUNCTION("""COMPUTED_VALUE"""),"Introduction to Data Mining")</f>
        <v>Introduction to Data Mining</v>
      </c>
      <c r="H283" s="13">
        <f>IFERROR(__xludf.DUMMYFUNCTION("""COMPUTED_VALUE"""),40.0)</f>
        <v>40</v>
      </c>
      <c r="I283" s="11" t="str">
        <f>IFERROR(__xludf.DUMMYFUNCTION("""COMPUTED_VALUE"""),"[MMJR] Md. Mijanur Rahman")</f>
        <v>[MMJR] Md. Mijanur Rahman</v>
      </c>
      <c r="J283" s="13">
        <f t="shared" si="1"/>
        <v>1</v>
      </c>
    </row>
    <row r="284">
      <c r="A284" s="11" t="str">
        <f>IFERROR(__xludf.DUMMYFUNCTION("""COMPUTED_VALUE"""),"C")</f>
        <v>C</v>
      </c>
      <c r="B284" s="11" t="str">
        <f>IFERROR(__xludf.DUMMYFUNCTION("""COMPUTED_VALUE"""),"Slot - 14")</f>
        <v>Slot - 14</v>
      </c>
      <c r="C284" s="11" t="str">
        <f>IFERROR(__xludf.DUMMYFUNCTION("""COMPUTED_VALUE"""),"18.04.2026")</f>
        <v>18.04.2026</v>
      </c>
      <c r="D284" s="12">
        <f>IFERROR(__xludf.DUMMYFUNCTION("""COMPUTED_VALUE"""),0.4583333333321207)</f>
        <v>0.4583333333</v>
      </c>
      <c r="E284" s="12">
        <f>IFERROR(__xludf.DUMMYFUNCTION("""COMPUTED_VALUE"""),0.5208333333321207)</f>
        <v>0.5208333333</v>
      </c>
      <c r="F284" s="11" t="str">
        <f>IFERROR(__xludf.DUMMYFUNCTION("""COMPUTED_VALUE"""),"CSE353.2")</f>
        <v>CSE353.2</v>
      </c>
      <c r="G284" s="11" t="str">
        <f>IFERROR(__xludf.DUMMYFUNCTION("""COMPUTED_VALUE"""),"Introduction to Data Mining")</f>
        <v>Introduction to Data Mining</v>
      </c>
      <c r="H284" s="13">
        <f>IFERROR(__xludf.DUMMYFUNCTION("""COMPUTED_VALUE"""),38.0)</f>
        <v>38</v>
      </c>
      <c r="I284" s="11" t="str">
        <f>IFERROR(__xludf.DUMMYFUNCTION("""COMPUTED_VALUE"""),"[MMJR] Md. Mijanur Rahman")</f>
        <v>[MMJR] Md. Mijanur Rahman</v>
      </c>
      <c r="J284" s="13">
        <f t="shared" si="1"/>
        <v>1</v>
      </c>
    </row>
    <row r="285">
      <c r="A285" s="11" t="str">
        <f>IFERROR(__xludf.DUMMYFUNCTION("""COMPUTED_VALUE"""),"C")</f>
        <v>C</v>
      </c>
      <c r="B285" s="11" t="str">
        <f>IFERROR(__xludf.DUMMYFUNCTION("""COMPUTED_VALUE"""),"Slot - 18")</f>
        <v>Slot - 18</v>
      </c>
      <c r="C285" s="11" t="str">
        <f>IFERROR(__xludf.DUMMYFUNCTION("""COMPUTED_VALUE"""),"19.04.2026")</f>
        <v>19.04.2026</v>
      </c>
      <c r="D285" s="12">
        <f>IFERROR(__xludf.DUMMYFUNCTION("""COMPUTED_VALUE"""),0.6041666666678793)</f>
        <v>0.6041666667</v>
      </c>
      <c r="E285" s="12">
        <f>IFERROR(__xludf.DUMMYFUNCTION("""COMPUTED_VALUE"""),0.6666666666678793)</f>
        <v>0.6666666667</v>
      </c>
      <c r="F285" s="11" t="str">
        <f>IFERROR(__xludf.DUMMYFUNCTION("""COMPUTED_VALUE"""),"CSE365.4")</f>
        <v>CSE365.4</v>
      </c>
      <c r="G285" s="11" t="str">
        <f>IFERROR(__xludf.DUMMYFUNCTION("""COMPUTED_VALUE"""),"Artificial Intelligence")</f>
        <v>Artificial Intelligence</v>
      </c>
      <c r="H285" s="13">
        <f>IFERROR(__xludf.DUMMYFUNCTION("""COMPUTED_VALUE"""),41.0)</f>
        <v>41</v>
      </c>
      <c r="I285" s="11" t="str">
        <f>IFERROR(__xludf.DUMMYFUNCTION("""COMPUTED_VALUE"""),"[MMJR] Md. Mijanur Rahman")</f>
        <v>[MMJR] Md. Mijanur Rahman</v>
      </c>
      <c r="J285" s="13">
        <f t="shared" si="1"/>
        <v>1</v>
      </c>
    </row>
    <row r="286">
      <c r="A286" s="11" t="str">
        <f>IFERROR(__xludf.DUMMYFUNCTION("""COMPUTED_VALUE"""),"C")</f>
        <v>C</v>
      </c>
      <c r="B286" s="11" t="str">
        <f>IFERROR(__xludf.DUMMYFUNCTION("""COMPUTED_VALUE"""),"Slot - 18")</f>
        <v>Slot - 18</v>
      </c>
      <c r="C286" s="11" t="str">
        <f>IFERROR(__xludf.DUMMYFUNCTION("""COMPUTED_VALUE"""),"19.04.2026")</f>
        <v>19.04.2026</v>
      </c>
      <c r="D286" s="12">
        <f>IFERROR(__xludf.DUMMYFUNCTION("""COMPUTED_VALUE"""),0.6041666666678793)</f>
        <v>0.6041666667</v>
      </c>
      <c r="E286" s="12">
        <f>IFERROR(__xludf.DUMMYFUNCTION("""COMPUTED_VALUE"""),0.6666666666678793)</f>
        <v>0.6666666667</v>
      </c>
      <c r="F286" s="11" t="str">
        <f>IFERROR(__xludf.DUMMYFUNCTION("""COMPUTED_VALUE"""),"CSE365.5")</f>
        <v>CSE365.5</v>
      </c>
      <c r="G286" s="11" t="str">
        <f>IFERROR(__xludf.DUMMYFUNCTION("""COMPUTED_VALUE"""),"Artificial Intelligence")</f>
        <v>Artificial Intelligence</v>
      </c>
      <c r="H286" s="13">
        <f>IFERROR(__xludf.DUMMYFUNCTION("""COMPUTED_VALUE"""),36.0)</f>
        <v>36</v>
      </c>
      <c r="I286" s="11" t="str">
        <f>IFERROR(__xludf.DUMMYFUNCTION("""COMPUTED_VALUE"""),"[MMJR] Md. Mijanur Rahman")</f>
        <v>[MMJR] Md. Mijanur Rahman</v>
      </c>
      <c r="J286" s="13">
        <f t="shared" si="1"/>
        <v>1</v>
      </c>
    </row>
    <row r="287">
      <c r="A287" s="11" t="str">
        <f>IFERROR(__xludf.DUMMYFUNCTION("""COMPUTED_VALUE"""),"C")</f>
        <v>C</v>
      </c>
      <c r="B287" s="11" t="str">
        <f>IFERROR(__xludf.DUMMYFUNCTION("""COMPUTED_VALUE"""),"Slot - 18")</f>
        <v>Slot - 18</v>
      </c>
      <c r="C287" s="11" t="str">
        <f>IFERROR(__xludf.DUMMYFUNCTION("""COMPUTED_VALUE"""),"19.04.2026")</f>
        <v>19.04.2026</v>
      </c>
      <c r="D287" s="12">
        <f>IFERROR(__xludf.DUMMYFUNCTION("""COMPUTED_VALUE"""),0.6041666666678793)</f>
        <v>0.6041666667</v>
      </c>
      <c r="E287" s="12">
        <f>IFERROR(__xludf.DUMMYFUNCTION("""COMPUTED_VALUE"""),0.6666666666678793)</f>
        <v>0.6666666667</v>
      </c>
      <c r="F287" s="11" t="str">
        <f>IFERROR(__xludf.DUMMYFUNCTION("""COMPUTED_VALUE"""),"CSE365.6")</f>
        <v>CSE365.6</v>
      </c>
      <c r="G287" s="11" t="str">
        <f>IFERROR(__xludf.DUMMYFUNCTION("""COMPUTED_VALUE"""),"Artificial Intelligence")</f>
        <v>Artificial Intelligence</v>
      </c>
      <c r="H287" s="13">
        <f>IFERROR(__xludf.DUMMYFUNCTION("""COMPUTED_VALUE"""),40.0)</f>
        <v>40</v>
      </c>
      <c r="I287" s="11" t="str">
        <f>IFERROR(__xludf.DUMMYFUNCTION("""COMPUTED_VALUE"""),"[MMJR] Md. Mijanur Rahman")</f>
        <v>[MMJR] Md. Mijanur Rahman</v>
      </c>
      <c r="J287" s="13">
        <f t="shared" si="1"/>
        <v>1</v>
      </c>
    </row>
    <row r="288">
      <c r="A288" s="11" t="str">
        <f>IFERROR(__xludf.DUMMYFUNCTION("""COMPUTED_VALUE"""),"C")</f>
        <v>C</v>
      </c>
      <c r="B288" s="11" t="str">
        <f>IFERROR(__xludf.DUMMYFUNCTION("""COMPUTED_VALUE"""),"Slot - 16")</f>
        <v>Slot - 16</v>
      </c>
      <c r="C288" s="11" t="str">
        <f>IFERROR(__xludf.DUMMYFUNCTION("""COMPUTED_VALUE"""),"19.04.2026")</f>
        <v>19.04.2026</v>
      </c>
      <c r="D288" s="12">
        <f>IFERROR(__xludf.DUMMYFUNCTION("""COMPUTED_VALUE"""),0.3541666666678793)</f>
        <v>0.3541666667</v>
      </c>
      <c r="E288" s="12">
        <f>IFERROR(__xludf.DUMMYFUNCTION("""COMPUTED_VALUE"""),0.4166666666678793)</f>
        <v>0.4166666667</v>
      </c>
      <c r="F288" s="11" t="str">
        <f>IFERROR(__xludf.DUMMYFUNCTION("""COMPUTED_VALUE"""),"MGT281.3")</f>
        <v>MGT281.3</v>
      </c>
      <c r="G288" s="11" t="str">
        <f>IFERROR(__xludf.DUMMYFUNCTION("""COMPUTED_VALUE"""),"Introduction to Business &amp; Management")</f>
        <v>Introduction to Business &amp; Management</v>
      </c>
      <c r="H288" s="13">
        <f>IFERROR(__xludf.DUMMYFUNCTION("""COMPUTED_VALUE"""),40.0)</f>
        <v>40</v>
      </c>
      <c r="I288" s="11" t="str">
        <f>IFERROR(__xludf.DUMMYFUNCTION("""COMPUTED_VALUE"""),"[MMMM] Dr. Mia Muhammad Mustafiz Munir")</f>
        <v>[MMMM] Dr. Mia Muhammad Mustafiz Munir</v>
      </c>
      <c r="J288" s="13">
        <f t="shared" si="1"/>
        <v>-1</v>
      </c>
    </row>
    <row r="289">
      <c r="A289" s="11" t="str">
        <f>IFERROR(__xludf.DUMMYFUNCTION("""COMPUTED_VALUE"""),"C")</f>
        <v>C</v>
      </c>
      <c r="B289" s="11" t="str">
        <f>IFERROR(__xludf.DUMMYFUNCTION("""COMPUTED_VALUE"""),"Slot - 24")</f>
        <v>Slot - 24</v>
      </c>
      <c r="C289" s="11" t="str">
        <f>IFERROR(__xludf.DUMMYFUNCTION("""COMPUTED_VALUE"""),"21.04.2026")</f>
        <v>21.04.2026</v>
      </c>
      <c r="D289" s="12">
        <f>IFERROR(__xludf.DUMMYFUNCTION("""COMPUTED_VALUE"""),0.6041666666678793)</f>
        <v>0.6041666667</v>
      </c>
      <c r="E289" s="12">
        <f>IFERROR(__xludf.DUMMYFUNCTION("""COMPUTED_VALUE"""),0.6666666666678793)</f>
        <v>0.6666666667</v>
      </c>
      <c r="F289" s="11" t="str">
        <f>IFERROR(__xludf.DUMMYFUNCTION("""COMPUTED_VALUE"""),"MAT161.4")</f>
        <v>MAT161.4</v>
      </c>
      <c r="G289" s="11" t="str">
        <f>IFERROR(__xludf.DUMMYFUNCTION("""COMPUTED_VALUE"""),"Coordinate Geometry and Vector Analysis")</f>
        <v>Coordinate Geometry and Vector Analysis</v>
      </c>
      <c r="H289" s="13">
        <f>IFERROR(__xludf.DUMMYFUNCTION("""COMPUTED_VALUE"""),41.0)</f>
        <v>41</v>
      </c>
      <c r="I289" s="11" t="str">
        <f>IFERROR(__xludf.DUMMYFUNCTION("""COMPUTED_VALUE"""),"[MMR] Md. Motiur Rahman")</f>
        <v>[MMR] Md. Motiur Rahman</v>
      </c>
      <c r="J289" s="13">
        <f t="shared" si="1"/>
        <v>1</v>
      </c>
    </row>
    <row r="290">
      <c r="A290" s="11" t="str">
        <f>IFERROR(__xludf.DUMMYFUNCTION("""COMPUTED_VALUE"""),"C")</f>
        <v>C</v>
      </c>
      <c r="B290" s="11" t="str">
        <f>IFERROR(__xludf.DUMMYFUNCTION("""COMPUTED_VALUE"""),"Slot - 24")</f>
        <v>Slot - 24</v>
      </c>
      <c r="C290" s="11" t="str">
        <f>IFERROR(__xludf.DUMMYFUNCTION("""COMPUTED_VALUE"""),"21.04.2026")</f>
        <v>21.04.2026</v>
      </c>
      <c r="D290" s="12">
        <f>IFERROR(__xludf.DUMMYFUNCTION("""COMPUTED_VALUE"""),0.6041666666678793)</f>
        <v>0.6041666667</v>
      </c>
      <c r="E290" s="12">
        <f>IFERROR(__xludf.DUMMYFUNCTION("""COMPUTED_VALUE"""),0.6666666666678793)</f>
        <v>0.6666666667</v>
      </c>
      <c r="F290" s="11" t="str">
        <f>IFERROR(__xludf.DUMMYFUNCTION("""COMPUTED_VALUE"""),"MAT161.9")</f>
        <v>MAT161.9</v>
      </c>
      <c r="G290" s="11" t="str">
        <f>IFERROR(__xludf.DUMMYFUNCTION("""COMPUTED_VALUE"""),"Coordinate Geometry and Vector Analysis")</f>
        <v>Coordinate Geometry and Vector Analysis</v>
      </c>
      <c r="H290" s="13">
        <f>IFERROR(__xludf.DUMMYFUNCTION("""COMPUTED_VALUE"""),41.0)</f>
        <v>41</v>
      </c>
      <c r="I290" s="11" t="str">
        <f>IFERROR(__xludf.DUMMYFUNCTION("""COMPUTED_VALUE"""),"[MMR] Md. Motiur Rahman")</f>
        <v>[MMR] Md. Motiur Rahman</v>
      </c>
      <c r="J290" s="13">
        <f t="shared" si="1"/>
        <v>1</v>
      </c>
    </row>
    <row r="291">
      <c r="A291" s="11" t="str">
        <f>IFERROR(__xludf.DUMMYFUNCTION("""COMPUTED_VALUE"""),"C")</f>
        <v>C</v>
      </c>
      <c r="B291" s="11" t="str">
        <f>IFERROR(__xludf.DUMMYFUNCTION("""COMPUTED_VALUE"""),"Slot - 12")</f>
        <v>Slot - 12</v>
      </c>
      <c r="C291" s="11" t="str">
        <f>IFERROR(__xludf.DUMMYFUNCTION("""COMPUTED_VALUE"""),"16.04.2026")</f>
        <v>16.04.2026</v>
      </c>
      <c r="D291" s="12">
        <f>IFERROR(__xludf.DUMMYFUNCTION("""COMPUTED_VALUE"""),0.6041666666678793)</f>
        <v>0.6041666667</v>
      </c>
      <c r="E291" s="12">
        <f>IFERROR(__xludf.DUMMYFUNCTION("""COMPUTED_VALUE"""),0.6666666666678793)</f>
        <v>0.6666666667</v>
      </c>
      <c r="F291" s="11" t="str">
        <f>IFERROR(__xludf.DUMMYFUNCTION("""COMPUTED_VALUE"""),"CSE441.3")</f>
        <v>CSE441.3</v>
      </c>
      <c r="G291" s="11" t="str">
        <f>IFERROR(__xludf.DUMMYFUNCTION("""COMPUTED_VALUE"""),"Theory of Computing")</f>
        <v>Theory of Computing</v>
      </c>
      <c r="H291" s="13">
        <f>IFERROR(__xludf.DUMMYFUNCTION("""COMPUTED_VALUE"""),42.0)</f>
        <v>42</v>
      </c>
      <c r="I291" s="11" t="str">
        <f>IFERROR(__xludf.DUMMYFUNCTION("""COMPUTED_VALUE"""),"[MMRF] Md. Mushfiqur Rahman Fakir")</f>
        <v>[MMRF] Md. Mushfiqur Rahman Fakir</v>
      </c>
      <c r="J291" s="13">
        <f t="shared" si="1"/>
        <v>-1</v>
      </c>
    </row>
    <row r="292">
      <c r="A292" s="11" t="str">
        <f>IFERROR(__xludf.DUMMYFUNCTION("""COMPUTED_VALUE"""),"C")</f>
        <v>C</v>
      </c>
      <c r="B292" s="11" t="str">
        <f>IFERROR(__xludf.DUMMYFUNCTION("""COMPUTED_VALUE"""),"Slot - 21")</f>
        <v>Slot - 21</v>
      </c>
      <c r="C292" s="11" t="str">
        <f>IFERROR(__xludf.DUMMYFUNCTION("""COMPUTED_VALUE"""),"20.04.2026")</f>
        <v>20.04.2026</v>
      </c>
      <c r="D292" s="12">
        <f>IFERROR(__xludf.DUMMYFUNCTION("""COMPUTED_VALUE"""),0.6041666666678793)</f>
        <v>0.6041666667</v>
      </c>
      <c r="E292" s="12">
        <f>IFERROR(__xludf.DUMMYFUNCTION("""COMPUTED_VALUE"""),0.6666666666678793)</f>
        <v>0.6666666667</v>
      </c>
      <c r="F292" s="11" t="str">
        <f>IFERROR(__xludf.DUMMYFUNCTION("""COMPUTED_VALUE"""),"ETE281.8")</f>
        <v>ETE281.8</v>
      </c>
      <c r="G292" s="11" t="str">
        <f>IFERROR(__xludf.DUMMYFUNCTION("""COMPUTED_VALUE"""),"Communication Theory")</f>
        <v>Communication Theory</v>
      </c>
      <c r="H292" s="13">
        <f>IFERROR(__xludf.DUMMYFUNCTION("""COMPUTED_VALUE"""),40.0)</f>
        <v>40</v>
      </c>
      <c r="I292" s="11" t="str">
        <f>IFERROR(__xludf.DUMMYFUNCTION("""COMPUTED_VALUE"""),"[MMRF] Md. Mushfiqur Rahman Fakir")</f>
        <v>[MMRF] Md. Mushfiqur Rahman Fakir</v>
      </c>
      <c r="J292" s="13">
        <f t="shared" si="1"/>
        <v>-1</v>
      </c>
    </row>
    <row r="293">
      <c r="A293" s="11" t="str">
        <f>IFERROR(__xludf.DUMMYFUNCTION("""COMPUTED_VALUE"""),"D")</f>
        <v>D</v>
      </c>
      <c r="B293" s="11" t="str">
        <f>IFERROR(__xludf.DUMMYFUNCTION("""COMPUTED_VALUE"""),"Slot - A")</f>
        <v>Slot - A</v>
      </c>
      <c r="C293" s="11" t="str">
        <f>IFERROR(__xludf.DUMMYFUNCTION("""COMPUTED_VALUE"""),"17.04.2026")</f>
        <v>17.04.2026</v>
      </c>
      <c r="D293" s="12">
        <f>IFERROR(__xludf.DUMMYFUNCTION("""COMPUTED_VALUE"""),0.375)</f>
        <v>0.375</v>
      </c>
      <c r="E293" s="12">
        <f>IFERROR(__xludf.DUMMYFUNCTION("""COMPUTED_VALUE"""),0.4375)</f>
        <v>0.4375</v>
      </c>
      <c r="F293" s="11" t="str">
        <f>IFERROR(__xludf.DUMMYFUNCTION("""COMPUTED_VALUE"""),"CSE281.12")</f>
        <v>CSE281.12</v>
      </c>
      <c r="G293" s="11" t="str">
        <f>IFERROR(__xludf.DUMMYFUNCTION("""COMPUTED_VALUE"""),"Introduction to Programming Language II (Java)")</f>
        <v>Introduction to Programming Language II (Java)</v>
      </c>
      <c r="H293" s="13">
        <f>IFERROR(__xludf.DUMMYFUNCTION("""COMPUTED_VALUE"""),25.0)</f>
        <v>25</v>
      </c>
      <c r="I293" s="11" t="str">
        <f>IFERROR(__xludf.DUMMYFUNCTION("""COMPUTED_VALUE"""),"[MOHO] Mosarrof Hossain")</f>
        <v>[MOHO] Mosarrof Hossain</v>
      </c>
      <c r="J293" s="13">
        <f t="shared" si="1"/>
        <v>1</v>
      </c>
    </row>
    <row r="294">
      <c r="A294" s="11" t="str">
        <f>IFERROR(__xludf.DUMMYFUNCTION("""COMPUTED_VALUE"""),"D")</f>
        <v>D</v>
      </c>
      <c r="B294" s="11" t="str">
        <f>IFERROR(__xludf.DUMMYFUNCTION("""COMPUTED_VALUE"""),"Slot - B")</f>
        <v>Slot - B</v>
      </c>
      <c r="C294" s="11" t="str">
        <f>IFERROR(__xludf.DUMMYFUNCTION("""COMPUTED_VALUE"""),"17.04.2026")</f>
        <v>17.04.2026</v>
      </c>
      <c r="D294" s="12">
        <f>IFERROR(__xludf.DUMMYFUNCTION("""COMPUTED_VALUE"""),0.4791666666678793)</f>
        <v>0.4791666667</v>
      </c>
      <c r="E294" s="12">
        <f>IFERROR(__xludf.DUMMYFUNCTION("""COMPUTED_VALUE"""),0.5416666666678793)</f>
        <v>0.5416666667</v>
      </c>
      <c r="F294" s="11" t="str">
        <f>IFERROR(__xludf.DUMMYFUNCTION("""COMPUTED_VALUE"""),"CSE281.13")</f>
        <v>CSE281.13</v>
      </c>
      <c r="G294" s="11" t="str">
        <f>IFERROR(__xludf.DUMMYFUNCTION("""COMPUTED_VALUE"""),"Introduction to Programming Language II (Java)")</f>
        <v>Introduction to Programming Language II (Java)</v>
      </c>
      <c r="H294" s="13">
        <f>IFERROR(__xludf.DUMMYFUNCTION("""COMPUTED_VALUE"""),39.0)</f>
        <v>39</v>
      </c>
      <c r="I294" s="11" t="str">
        <f>IFERROR(__xludf.DUMMYFUNCTION("""COMPUTED_VALUE"""),"[MOHO] Mosarrof Hossain")</f>
        <v>[MOHO] Mosarrof Hossain</v>
      </c>
      <c r="J294" s="13">
        <f t="shared" si="1"/>
        <v>1</v>
      </c>
    </row>
    <row r="295">
      <c r="A295" s="11" t="str">
        <f>IFERROR(__xludf.DUMMYFUNCTION("""COMPUTED_VALUE"""),"C")</f>
        <v>C</v>
      </c>
      <c r="B295" s="11" t="str">
        <f>IFERROR(__xludf.DUMMYFUNCTION("""COMPUTED_VALUE"""),"Slot - 08")</f>
        <v>Slot - 08</v>
      </c>
      <c r="C295" s="11" t="str">
        <f>IFERROR(__xludf.DUMMYFUNCTION("""COMPUTED_VALUE"""),"15.04.2026")</f>
        <v>15.04.2026</v>
      </c>
      <c r="D295" s="12">
        <f>IFERROR(__xludf.DUMMYFUNCTION("""COMPUTED_VALUE"""),0.4791666666678793)</f>
        <v>0.4791666667</v>
      </c>
      <c r="E295" s="12">
        <f>IFERROR(__xludf.DUMMYFUNCTION("""COMPUTED_VALUE"""),0.5416666666678793)</f>
        <v>0.5416666667</v>
      </c>
      <c r="F295" s="11" t="str">
        <f>IFERROR(__xludf.DUMMYFUNCTION("""COMPUTED_VALUE"""),"CSE261.9")</f>
        <v>CSE261.9</v>
      </c>
      <c r="G295" s="11" t="str">
        <f>IFERROR(__xludf.DUMMYFUNCTION("""COMPUTED_VALUE"""),"Numerical Methods")</f>
        <v>Numerical Methods</v>
      </c>
      <c r="H295" s="13">
        <f>IFERROR(__xludf.DUMMYFUNCTION("""COMPUTED_VALUE"""),39.0)</f>
        <v>39</v>
      </c>
      <c r="I295" s="11" t="str">
        <f>IFERROR(__xludf.DUMMYFUNCTION("""COMPUTED_VALUE"""),"[MRAI] Md. Rashedul Islam")</f>
        <v>[MRAI] Md. Rashedul Islam</v>
      </c>
      <c r="J295" s="13">
        <f t="shared" si="1"/>
        <v>-1</v>
      </c>
    </row>
    <row r="296">
      <c r="A296" s="11" t="str">
        <f>IFERROR(__xludf.DUMMYFUNCTION("""COMPUTED_VALUE"""),"C")</f>
        <v>C</v>
      </c>
      <c r="B296" s="11" t="str">
        <f>IFERROR(__xludf.DUMMYFUNCTION("""COMPUTED_VALUE"""),"Slot - 20")</f>
        <v>Slot - 20</v>
      </c>
      <c r="C296" s="11" t="str">
        <f>IFERROR(__xludf.DUMMYFUNCTION("""COMPUTED_VALUE"""),"20.04.2026")</f>
        <v>20.04.2026</v>
      </c>
      <c r="D296" s="12">
        <f>IFERROR(__xludf.DUMMYFUNCTION("""COMPUTED_VALUE"""),0.4791666666678793)</f>
        <v>0.4791666667</v>
      </c>
      <c r="E296" s="12">
        <f>IFERROR(__xludf.DUMMYFUNCTION("""COMPUTED_VALUE"""),0.5416666666678793)</f>
        <v>0.5416666667</v>
      </c>
      <c r="F296" s="11" t="str">
        <f>IFERROR(__xludf.DUMMYFUNCTION("""COMPUTED_VALUE"""),"CSE181.12")</f>
        <v>CSE181.12</v>
      </c>
      <c r="G296" s="11" t="str">
        <f>IFERROR(__xludf.DUMMYFUNCTION("""COMPUTED_VALUE"""),"Discrete Mathematics")</f>
        <v>Discrete Mathematics</v>
      </c>
      <c r="H296" s="13">
        <f>IFERROR(__xludf.DUMMYFUNCTION("""COMPUTED_VALUE"""),32.0)</f>
        <v>32</v>
      </c>
      <c r="I296" s="11" t="str">
        <f>IFERROR(__xludf.DUMMYFUNCTION("""COMPUTED_VALUE"""),"[MRAI] Md. Rashedul Islam")</f>
        <v>[MRAI] Md. Rashedul Islam</v>
      </c>
      <c r="J296" s="13">
        <f t="shared" si="1"/>
        <v>-1</v>
      </c>
    </row>
    <row r="297">
      <c r="A297" s="11" t="str">
        <f>IFERROR(__xludf.DUMMYFUNCTION("""COMPUTED_VALUE"""),"C")</f>
        <v>C</v>
      </c>
      <c r="B297" s="11" t="str">
        <f>IFERROR(__xludf.DUMMYFUNCTION("""COMPUTED_VALUE"""),"Slot - 13")</f>
        <v>Slot - 13</v>
      </c>
      <c r="C297" s="11" t="str">
        <f>IFERROR(__xludf.DUMMYFUNCTION("""COMPUTED_VALUE"""),"18.04.2026")</f>
        <v>18.04.2026</v>
      </c>
      <c r="D297" s="12">
        <f>IFERROR(__xludf.DUMMYFUNCTION("""COMPUTED_VALUE"""),0.3541666666678793)</f>
        <v>0.3541666667</v>
      </c>
      <c r="E297" s="12">
        <f>IFERROR(__xludf.DUMMYFUNCTION("""COMPUTED_VALUE"""),0.4166666666678793)</f>
        <v>0.4166666667</v>
      </c>
      <c r="F297" s="11" t="str">
        <f>IFERROR(__xludf.DUMMYFUNCTION("""COMPUTED_VALUE"""),"CSE361.5")</f>
        <v>CSE361.5</v>
      </c>
      <c r="G297" s="11" t="str">
        <f>IFERROR(__xludf.DUMMYFUNCTION("""COMPUTED_VALUE"""),"Operating Systems")</f>
        <v>Operating Systems</v>
      </c>
      <c r="H297" s="13">
        <f>IFERROR(__xludf.DUMMYFUNCTION("""COMPUTED_VALUE"""),41.0)</f>
        <v>41</v>
      </c>
      <c r="I297" s="11" t="str">
        <f>IFERROR(__xludf.DUMMYFUNCTION("""COMPUTED_VALUE"""),"[MRRR] Mst Rubaiya Raktin Raha")</f>
        <v>[MRRR] Mst Rubaiya Raktin Raha</v>
      </c>
      <c r="J297" s="13">
        <f t="shared" si="1"/>
        <v>1</v>
      </c>
    </row>
    <row r="298">
      <c r="A298" s="11" t="str">
        <f>IFERROR(__xludf.DUMMYFUNCTION("""COMPUTED_VALUE"""),"C")</f>
        <v>C</v>
      </c>
      <c r="B298" s="11" t="str">
        <f>IFERROR(__xludf.DUMMYFUNCTION("""COMPUTED_VALUE"""),"Slot - 13")</f>
        <v>Slot - 13</v>
      </c>
      <c r="C298" s="11" t="str">
        <f>IFERROR(__xludf.DUMMYFUNCTION("""COMPUTED_VALUE"""),"18.04.2026")</f>
        <v>18.04.2026</v>
      </c>
      <c r="D298" s="12">
        <f>IFERROR(__xludf.DUMMYFUNCTION("""COMPUTED_VALUE"""),0.3541666666678793)</f>
        <v>0.3541666667</v>
      </c>
      <c r="E298" s="12">
        <f>IFERROR(__xludf.DUMMYFUNCTION("""COMPUTED_VALUE"""),0.4166666666678793)</f>
        <v>0.4166666667</v>
      </c>
      <c r="F298" s="11" t="str">
        <f>IFERROR(__xludf.DUMMYFUNCTION("""COMPUTED_VALUE"""),"CSE361.6")</f>
        <v>CSE361.6</v>
      </c>
      <c r="G298" s="11" t="str">
        <f>IFERROR(__xludf.DUMMYFUNCTION("""COMPUTED_VALUE"""),"Operating Systems")</f>
        <v>Operating Systems</v>
      </c>
      <c r="H298" s="13">
        <f>IFERROR(__xludf.DUMMYFUNCTION("""COMPUTED_VALUE"""),37.0)</f>
        <v>37</v>
      </c>
      <c r="I298" s="11" t="str">
        <f>IFERROR(__xludf.DUMMYFUNCTION("""COMPUTED_VALUE"""),"[MRRR] Mst Rubaiya Raktin Raha")</f>
        <v>[MRRR] Mst Rubaiya Raktin Raha</v>
      </c>
      <c r="J298" s="13">
        <f t="shared" si="1"/>
        <v>1</v>
      </c>
    </row>
    <row r="299">
      <c r="A299" s="11" t="str">
        <f>IFERROR(__xludf.DUMMYFUNCTION("""COMPUTED_VALUE"""),"C")</f>
        <v>C</v>
      </c>
      <c r="B299" s="11" t="str">
        <f>IFERROR(__xludf.DUMMYFUNCTION("""COMPUTED_VALUE"""),"Slot - 09")</f>
        <v>Slot - 09</v>
      </c>
      <c r="C299" s="11" t="str">
        <f>IFERROR(__xludf.DUMMYFUNCTION("""COMPUTED_VALUE"""),"15.04.2026")</f>
        <v>15.04.2026</v>
      </c>
      <c r="D299" s="12">
        <f>IFERROR(__xludf.DUMMYFUNCTION("""COMPUTED_VALUE"""),0.6041666666678793)</f>
        <v>0.6041666667</v>
      </c>
      <c r="E299" s="12">
        <f>IFERROR(__xludf.DUMMYFUNCTION("""COMPUTED_VALUE"""),0.6666666666678793)</f>
        <v>0.6666666667</v>
      </c>
      <c r="F299" s="11" t="str">
        <f>IFERROR(__xludf.DUMMYFUNCTION("""COMPUTED_VALUE"""),"CSE281.10")</f>
        <v>CSE281.10</v>
      </c>
      <c r="G299" s="11" t="str">
        <f>IFERROR(__xludf.DUMMYFUNCTION("""COMPUTED_VALUE"""),"Introduction to Programming Language II (Java)")</f>
        <v>Introduction to Programming Language II (Java)</v>
      </c>
      <c r="H299" s="13">
        <f>IFERROR(__xludf.DUMMYFUNCTION("""COMPUTED_VALUE"""),40.0)</f>
        <v>40</v>
      </c>
      <c r="I299" s="11" t="str">
        <f>IFERROR(__xludf.DUMMYFUNCTION("""COMPUTED_VALUE"""),"[MRZ] Md. Miraz Hossain")</f>
        <v>[MRZ] Md. Miraz Hossain</v>
      </c>
      <c r="J299" s="13">
        <f t="shared" si="1"/>
        <v>-1</v>
      </c>
    </row>
    <row r="300">
      <c r="A300" s="11" t="str">
        <f>IFERROR(__xludf.DUMMYFUNCTION("""COMPUTED_VALUE"""),"D")</f>
        <v>D</v>
      </c>
      <c r="B300" s="11" t="str">
        <f>IFERROR(__xludf.DUMMYFUNCTION("""COMPUTED_VALUE"""),"Slot - E")</f>
        <v>Slot - E</v>
      </c>
      <c r="C300" s="11" t="str">
        <f>IFERROR(__xludf.DUMMYFUNCTION("""COMPUTED_VALUE"""),"18.04.2026")</f>
        <v>18.04.2026</v>
      </c>
      <c r="D300" s="12">
        <f>IFERROR(__xludf.DUMMYFUNCTION("""COMPUTED_VALUE"""),0.6666666666678793)</f>
        <v>0.6666666667</v>
      </c>
      <c r="E300" s="12">
        <f>IFERROR(__xludf.DUMMYFUNCTION("""COMPUTED_VALUE"""),0.7291666666678793)</f>
        <v>0.7291666667</v>
      </c>
      <c r="F300" s="11" t="str">
        <f>IFERROR(__xludf.DUMMYFUNCTION("""COMPUTED_VALUE"""),"CSE265.14")</f>
        <v>CSE265.14</v>
      </c>
      <c r="G300" s="11" t="str">
        <f>IFERROR(__xludf.DUMMYFUNCTION("""COMPUTED_VALUE"""),"Algorithm")</f>
        <v>Algorithm</v>
      </c>
      <c r="H300" s="13">
        <f>IFERROR(__xludf.DUMMYFUNCTION("""COMPUTED_VALUE"""),40.0)</f>
        <v>40</v>
      </c>
      <c r="I300" s="11" t="str">
        <f>IFERROR(__xludf.DUMMYFUNCTION("""COMPUTED_VALUE"""),"[MRZ] Md. Miraz Hossain")</f>
        <v>[MRZ] Md. Miraz Hossain</v>
      </c>
      <c r="J300" s="13">
        <f t="shared" si="1"/>
        <v>-1</v>
      </c>
    </row>
    <row r="301">
      <c r="A301" s="11" t="str">
        <f>IFERROR(__xludf.DUMMYFUNCTION("""COMPUTED_VALUE"""),"C")</f>
        <v>C</v>
      </c>
      <c r="B301" s="11" t="str">
        <f>IFERROR(__xludf.DUMMYFUNCTION("""COMPUTED_VALUE"""),"Slot - 20")</f>
        <v>Slot - 20</v>
      </c>
      <c r="C301" s="11" t="str">
        <f>IFERROR(__xludf.DUMMYFUNCTION("""COMPUTED_VALUE"""),"20.04.2026")</f>
        <v>20.04.2026</v>
      </c>
      <c r="D301" s="12">
        <f>IFERROR(__xludf.DUMMYFUNCTION("""COMPUTED_VALUE"""),0.4791666666678793)</f>
        <v>0.4791666667</v>
      </c>
      <c r="E301" s="12">
        <f>IFERROR(__xludf.DUMMYFUNCTION("""COMPUTED_VALUE"""),0.5416666666678793)</f>
        <v>0.5416666667</v>
      </c>
      <c r="F301" s="11" t="str">
        <f>IFERROR(__xludf.DUMMYFUNCTION("""COMPUTED_VALUE"""),"CSE363.8")</f>
        <v>CSE363.8</v>
      </c>
      <c r="G301" s="11" t="str">
        <f>IFERROR(__xludf.DUMMYFUNCTION("""COMPUTED_VALUE"""),"Microprocessor Design &amp; Assembly Language Programming")</f>
        <v>Microprocessor Design &amp; Assembly Language Programming</v>
      </c>
      <c r="H301" s="13">
        <f>IFERROR(__xludf.DUMMYFUNCTION("""COMPUTED_VALUE"""),39.0)</f>
        <v>39</v>
      </c>
      <c r="I301" s="11" t="str">
        <f>IFERROR(__xludf.DUMMYFUNCTION("""COMPUTED_VALUE"""),"[MSNS] Mst. Shafiatun Nur Shimu")</f>
        <v>[MSNS] Mst. Shafiatun Nur Shimu</v>
      </c>
      <c r="J301" s="13">
        <f t="shared" si="1"/>
        <v>1</v>
      </c>
    </row>
    <row r="302">
      <c r="A302" s="11" t="str">
        <f>IFERROR(__xludf.DUMMYFUNCTION("""COMPUTED_VALUE"""),"C")</f>
        <v>C</v>
      </c>
      <c r="B302" s="11" t="str">
        <f>IFERROR(__xludf.DUMMYFUNCTION("""COMPUTED_VALUE"""),"Slot - 20")</f>
        <v>Slot - 20</v>
      </c>
      <c r="C302" s="11" t="str">
        <f>IFERROR(__xludf.DUMMYFUNCTION("""COMPUTED_VALUE"""),"20.04.2026")</f>
        <v>20.04.2026</v>
      </c>
      <c r="D302" s="12">
        <f>IFERROR(__xludf.DUMMYFUNCTION("""COMPUTED_VALUE"""),0.4791666666678793)</f>
        <v>0.4791666667</v>
      </c>
      <c r="E302" s="12">
        <f>IFERROR(__xludf.DUMMYFUNCTION("""COMPUTED_VALUE"""),0.5416666666678793)</f>
        <v>0.5416666667</v>
      </c>
      <c r="F302" s="11" t="str">
        <f>IFERROR(__xludf.DUMMYFUNCTION("""COMPUTED_VALUE"""),"CSE363.9")</f>
        <v>CSE363.9</v>
      </c>
      <c r="G302" s="11" t="str">
        <f>IFERROR(__xludf.DUMMYFUNCTION("""COMPUTED_VALUE"""),"Microprocessor Design &amp; Assembly Language Programming")</f>
        <v>Microprocessor Design &amp; Assembly Language Programming</v>
      </c>
      <c r="H302" s="13">
        <f>IFERROR(__xludf.DUMMYFUNCTION("""COMPUTED_VALUE"""),39.0)</f>
        <v>39</v>
      </c>
      <c r="I302" s="11" t="str">
        <f>IFERROR(__xludf.DUMMYFUNCTION("""COMPUTED_VALUE"""),"[MSNS] Mst. Shafiatun Nur Shimu")</f>
        <v>[MSNS] Mst. Shafiatun Nur Shimu</v>
      </c>
      <c r="J302" s="13">
        <f t="shared" si="1"/>
        <v>1</v>
      </c>
    </row>
    <row r="303">
      <c r="A303" s="11" t="str">
        <f>IFERROR(__xludf.DUMMYFUNCTION("""COMPUTED_VALUE"""),"C")</f>
        <v>C</v>
      </c>
      <c r="B303" s="11" t="str">
        <f>IFERROR(__xludf.DUMMYFUNCTION("""COMPUTED_VALUE"""),"Slot - 06")</f>
        <v>Slot - 06</v>
      </c>
      <c r="C303" s="11" t="str">
        <f>IFERROR(__xludf.DUMMYFUNCTION("""COMPUTED_VALUE"""),"13.04.2026")</f>
        <v>13.04.2026</v>
      </c>
      <c r="D303" s="12">
        <f>IFERROR(__xludf.DUMMYFUNCTION("""COMPUTED_VALUE"""),0.6041666666678793)</f>
        <v>0.6041666667</v>
      </c>
      <c r="E303" s="12">
        <f>IFERROR(__xludf.DUMMYFUNCTION("""COMPUTED_VALUE"""),0.6666666666678793)</f>
        <v>0.6666666667</v>
      </c>
      <c r="F303" s="11" t="str">
        <f>IFERROR(__xludf.DUMMYFUNCTION("""COMPUTED_VALUE"""),"ENG103.37")</f>
        <v>ENG103.37</v>
      </c>
      <c r="G303" s="11" t="str">
        <f>IFERROR(__xludf.DUMMYFUNCTION("""COMPUTED_VALUE"""),"Advanced English Skills")</f>
        <v>Advanced English Skills</v>
      </c>
      <c r="H303" s="13">
        <f>IFERROR(__xludf.DUMMYFUNCTION("""COMPUTED_VALUE"""),34.0)</f>
        <v>34</v>
      </c>
      <c r="I303" s="11" t="str">
        <f>IFERROR(__xludf.DUMMYFUNCTION("""COMPUTED_VALUE"""),"[MSS] Surya Akhter Sumona")</f>
        <v>[MSS] Surya Akhter Sumona</v>
      </c>
      <c r="J303" s="13">
        <f t="shared" si="1"/>
        <v>-1</v>
      </c>
    </row>
    <row r="304">
      <c r="A304" s="11" t="str">
        <f>IFERROR(__xludf.DUMMYFUNCTION("""COMPUTED_VALUE"""),"C")</f>
        <v>C</v>
      </c>
      <c r="B304" s="11" t="str">
        <f>IFERROR(__xludf.DUMMYFUNCTION("""COMPUTED_VALUE"""),"Slot - 06")</f>
        <v>Slot - 06</v>
      </c>
      <c r="C304" s="11" t="str">
        <f>IFERROR(__xludf.DUMMYFUNCTION("""COMPUTED_VALUE"""),"13.04.2026")</f>
        <v>13.04.2026</v>
      </c>
      <c r="D304" s="12">
        <f>IFERROR(__xludf.DUMMYFUNCTION("""COMPUTED_VALUE"""),0.6041666666678793)</f>
        <v>0.6041666667</v>
      </c>
      <c r="E304" s="12">
        <f>IFERROR(__xludf.DUMMYFUNCTION("""COMPUTED_VALUE"""),0.6666666666678793)</f>
        <v>0.6666666667</v>
      </c>
      <c r="F304" s="11" t="str">
        <f>IFERROR(__xludf.DUMMYFUNCTION("""COMPUTED_VALUE"""),"ENG103.38")</f>
        <v>ENG103.38</v>
      </c>
      <c r="G304" s="11" t="str">
        <f>IFERROR(__xludf.DUMMYFUNCTION("""COMPUTED_VALUE"""),"Advanced English Skills")</f>
        <v>Advanced English Skills</v>
      </c>
      <c r="H304" s="13">
        <f>IFERROR(__xludf.DUMMYFUNCTION("""COMPUTED_VALUE"""),38.0)</f>
        <v>38</v>
      </c>
      <c r="I304" s="11" t="str">
        <f>IFERROR(__xludf.DUMMYFUNCTION("""COMPUTED_VALUE"""),"[MSS] Surya Akhter Sumona")</f>
        <v>[MSS] Surya Akhter Sumona</v>
      </c>
      <c r="J304" s="13">
        <f t="shared" si="1"/>
        <v>-1</v>
      </c>
    </row>
    <row r="305">
      <c r="A305" s="11" t="str">
        <f>IFERROR(__xludf.DUMMYFUNCTION("""COMPUTED_VALUE"""),"C")</f>
        <v>C</v>
      </c>
      <c r="B305" s="11" t="str">
        <f>IFERROR(__xludf.DUMMYFUNCTION("""COMPUTED_VALUE"""),"Slot - 10")</f>
        <v>Slot - 10</v>
      </c>
      <c r="C305" s="11" t="str">
        <f>IFERROR(__xludf.DUMMYFUNCTION("""COMPUTED_VALUE"""),"16.04.2026")</f>
        <v>16.04.2026</v>
      </c>
      <c r="D305" s="12">
        <f>IFERROR(__xludf.DUMMYFUNCTION("""COMPUTED_VALUE"""),0.3541666666678793)</f>
        <v>0.3541666667</v>
      </c>
      <c r="E305" s="12">
        <f>IFERROR(__xludf.DUMMYFUNCTION("""COMPUTED_VALUE"""),0.4166666666678793)</f>
        <v>0.4166666667</v>
      </c>
      <c r="F305" s="11" t="str">
        <f>IFERROR(__xludf.DUMMYFUNCTION("""COMPUTED_VALUE"""),"CSE281.5")</f>
        <v>CSE281.5</v>
      </c>
      <c r="G305" s="11" t="str">
        <f>IFERROR(__xludf.DUMMYFUNCTION("""COMPUTED_VALUE"""),"Introduction to Programming Language II (Java)")</f>
        <v>Introduction to Programming Language II (Java)</v>
      </c>
      <c r="H305" s="13">
        <f>IFERROR(__xludf.DUMMYFUNCTION("""COMPUTED_VALUE"""),41.0)</f>
        <v>41</v>
      </c>
      <c r="I305" s="11" t="str">
        <f>IFERROR(__xludf.DUMMYFUNCTION("""COMPUTED_VALUE"""),"[MSZA] Md. Safwan Zaher Asif")</f>
        <v>[MSZA] Md. Safwan Zaher Asif</v>
      </c>
      <c r="J305" s="13">
        <f t="shared" si="1"/>
        <v>1</v>
      </c>
    </row>
    <row r="306">
      <c r="A306" s="11" t="str">
        <f>IFERROR(__xludf.DUMMYFUNCTION("""COMPUTED_VALUE"""),"C")</f>
        <v>C</v>
      </c>
      <c r="B306" s="11" t="str">
        <f>IFERROR(__xludf.DUMMYFUNCTION("""COMPUTED_VALUE"""),"Slot - 10")</f>
        <v>Slot - 10</v>
      </c>
      <c r="C306" s="11" t="str">
        <f>IFERROR(__xludf.DUMMYFUNCTION("""COMPUTED_VALUE"""),"16.04.2026")</f>
        <v>16.04.2026</v>
      </c>
      <c r="D306" s="12">
        <f>IFERROR(__xludf.DUMMYFUNCTION("""COMPUTED_VALUE"""),0.3541666666678793)</f>
        <v>0.3541666667</v>
      </c>
      <c r="E306" s="12">
        <f>IFERROR(__xludf.DUMMYFUNCTION("""COMPUTED_VALUE"""),0.4166666666678793)</f>
        <v>0.4166666667</v>
      </c>
      <c r="F306" s="11" t="str">
        <f>IFERROR(__xludf.DUMMYFUNCTION("""COMPUTED_VALUE"""),"CSE281.6")</f>
        <v>CSE281.6</v>
      </c>
      <c r="G306" s="11" t="str">
        <f>IFERROR(__xludf.DUMMYFUNCTION("""COMPUTED_VALUE"""),"Introduction to Programming Language II (Java)")</f>
        <v>Introduction to Programming Language II (Java)</v>
      </c>
      <c r="H306" s="13">
        <f>IFERROR(__xludf.DUMMYFUNCTION("""COMPUTED_VALUE"""),41.0)</f>
        <v>41</v>
      </c>
      <c r="I306" s="11" t="str">
        <f>IFERROR(__xludf.DUMMYFUNCTION("""COMPUTED_VALUE"""),"[MSZA] Md. Safwan Zaher Asif")</f>
        <v>[MSZA] Md. Safwan Zaher Asif</v>
      </c>
      <c r="J306" s="13">
        <f t="shared" si="1"/>
        <v>1</v>
      </c>
    </row>
    <row r="307">
      <c r="A307" s="11" t="str">
        <f>IFERROR(__xludf.DUMMYFUNCTION("""COMPUTED_VALUE"""),"C")</f>
        <v>C</v>
      </c>
      <c r="B307" s="11" t="str">
        <f>IFERROR(__xludf.DUMMYFUNCTION("""COMPUTED_VALUE"""),"Slot - 19")</f>
        <v>Slot - 19</v>
      </c>
      <c r="C307" s="11" t="str">
        <f>IFERROR(__xludf.DUMMYFUNCTION("""COMPUTED_VALUE"""),"20.04.2026")</f>
        <v>20.04.2026</v>
      </c>
      <c r="D307" s="12">
        <f>IFERROR(__xludf.DUMMYFUNCTION("""COMPUTED_VALUE"""),0.3541666666678793)</f>
        <v>0.3541666667</v>
      </c>
      <c r="E307" s="12">
        <f>IFERROR(__xludf.DUMMYFUNCTION("""COMPUTED_VALUE"""),0.4166666666678793)</f>
        <v>0.4166666667</v>
      </c>
      <c r="F307" s="11" t="str">
        <f>IFERROR(__xludf.DUMMYFUNCTION("""COMPUTED_VALUE"""),"CSE341.7")</f>
        <v>CSE341.7</v>
      </c>
      <c r="G307" s="11" t="str">
        <f>IFERROR(__xludf.DUMMYFUNCTION("""COMPUTED_VALUE"""),"Computer Networking")</f>
        <v>Computer Networking</v>
      </c>
      <c r="H307" s="13">
        <f>IFERROR(__xludf.DUMMYFUNCTION("""COMPUTED_VALUE"""),36.0)</f>
        <v>36</v>
      </c>
      <c r="I307" s="11" t="str">
        <f>IFERROR(__xludf.DUMMYFUNCTION("""COMPUTED_VALUE"""),"[MSZA] Md. Safwan Zaher Asif")</f>
        <v>[MSZA] Md. Safwan Zaher Asif</v>
      </c>
      <c r="J307" s="13">
        <f t="shared" si="1"/>
        <v>1</v>
      </c>
    </row>
    <row r="308">
      <c r="A308" s="11" t="str">
        <f>IFERROR(__xludf.DUMMYFUNCTION("""COMPUTED_VALUE"""),"C")</f>
        <v>C</v>
      </c>
      <c r="B308" s="11" t="str">
        <f>IFERROR(__xludf.DUMMYFUNCTION("""COMPUTED_VALUE"""),"Slot - 19")</f>
        <v>Slot - 19</v>
      </c>
      <c r="C308" s="11" t="str">
        <f>IFERROR(__xludf.DUMMYFUNCTION("""COMPUTED_VALUE"""),"20.04.2026")</f>
        <v>20.04.2026</v>
      </c>
      <c r="D308" s="12">
        <f>IFERROR(__xludf.DUMMYFUNCTION("""COMPUTED_VALUE"""),0.3541666666678793)</f>
        <v>0.3541666667</v>
      </c>
      <c r="E308" s="12">
        <f>IFERROR(__xludf.DUMMYFUNCTION("""COMPUTED_VALUE"""),0.4166666666678793)</f>
        <v>0.4166666667</v>
      </c>
      <c r="F308" s="11" t="str">
        <f>IFERROR(__xludf.DUMMYFUNCTION("""COMPUTED_VALUE"""),"CSE341.8")</f>
        <v>CSE341.8</v>
      </c>
      <c r="G308" s="11" t="str">
        <f>IFERROR(__xludf.DUMMYFUNCTION("""COMPUTED_VALUE"""),"Computer Networking")</f>
        <v>Computer Networking</v>
      </c>
      <c r="H308" s="13">
        <f>IFERROR(__xludf.DUMMYFUNCTION("""COMPUTED_VALUE"""),36.0)</f>
        <v>36</v>
      </c>
      <c r="I308" s="11" t="str">
        <f>IFERROR(__xludf.DUMMYFUNCTION("""COMPUTED_VALUE"""),"[MSZA] Md. Safwan Zaher Asif")</f>
        <v>[MSZA] Md. Safwan Zaher Asif</v>
      </c>
      <c r="J308" s="13">
        <f t="shared" si="1"/>
        <v>1</v>
      </c>
    </row>
    <row r="309">
      <c r="A309" s="11" t="str">
        <f>IFERROR(__xludf.DUMMYFUNCTION("""COMPUTED_VALUE"""),"C")</f>
        <v>C</v>
      </c>
      <c r="B309" s="11" t="str">
        <f>IFERROR(__xludf.DUMMYFUNCTION("""COMPUTED_VALUE"""),"Slot - 15")</f>
        <v>Slot - 15</v>
      </c>
      <c r="C309" s="11" t="str">
        <f>IFERROR(__xludf.DUMMYFUNCTION("""COMPUTED_VALUE"""),"18.04.2026")</f>
        <v>18.04.2026</v>
      </c>
      <c r="D309" s="12">
        <f>IFERROR(__xludf.DUMMYFUNCTION("""COMPUTED_VALUE"""),0.5625)</f>
        <v>0.5625</v>
      </c>
      <c r="E309" s="12">
        <f>IFERROR(__xludf.DUMMYFUNCTION("""COMPUTED_VALUE"""),0.625)</f>
        <v>0.625</v>
      </c>
      <c r="F309" s="11" t="str">
        <f>IFERROR(__xludf.DUMMYFUNCTION("""COMPUTED_VALUE"""),"MAT241.4")</f>
        <v>MAT241.4</v>
      </c>
      <c r="G309" s="11" t="str">
        <f>IFERROR(__xludf.DUMMYFUNCTION("""COMPUTED_VALUE"""),"Complex Variables and Transforms (Laplace &amp; Fourier)")</f>
        <v>Complex Variables and Transforms (Laplace &amp; Fourier)</v>
      </c>
      <c r="H309" s="13">
        <f>IFERROR(__xludf.DUMMYFUNCTION("""COMPUTED_VALUE"""),38.0)</f>
        <v>38</v>
      </c>
      <c r="I309" s="11" t="str">
        <f>IFERROR(__xludf.DUMMYFUNCTION("""COMPUTED_VALUE"""),"[MTK] Md. Tamim Khandakar")</f>
        <v>[MTK] Md. Tamim Khandakar</v>
      </c>
      <c r="J309" s="13">
        <f t="shared" si="1"/>
        <v>-1</v>
      </c>
    </row>
    <row r="310">
      <c r="A310" s="11" t="str">
        <f>IFERROR(__xludf.DUMMYFUNCTION("""COMPUTED_VALUE"""),"C")</f>
        <v>C</v>
      </c>
      <c r="B310" s="11" t="str">
        <f>IFERROR(__xludf.DUMMYFUNCTION("""COMPUTED_VALUE"""),"Slot - 15")</f>
        <v>Slot - 15</v>
      </c>
      <c r="C310" s="11" t="str">
        <f>IFERROR(__xludf.DUMMYFUNCTION("""COMPUTED_VALUE"""),"18.04.2026")</f>
        <v>18.04.2026</v>
      </c>
      <c r="D310" s="12">
        <f>IFERROR(__xludf.DUMMYFUNCTION("""COMPUTED_VALUE"""),0.5625)</f>
        <v>0.5625</v>
      </c>
      <c r="E310" s="12">
        <f>IFERROR(__xludf.DUMMYFUNCTION("""COMPUTED_VALUE"""),0.625)</f>
        <v>0.625</v>
      </c>
      <c r="F310" s="11" t="str">
        <f>IFERROR(__xludf.DUMMYFUNCTION("""COMPUTED_VALUE"""),"MAT241.5")</f>
        <v>MAT241.5</v>
      </c>
      <c r="G310" s="11" t="str">
        <f>IFERROR(__xludf.DUMMYFUNCTION("""COMPUTED_VALUE"""),"Complex Variables and Transforms (Laplace &amp; Fourier)")</f>
        <v>Complex Variables and Transforms (Laplace &amp; Fourier)</v>
      </c>
      <c r="H310" s="13">
        <f>IFERROR(__xludf.DUMMYFUNCTION("""COMPUTED_VALUE"""),40.0)</f>
        <v>40</v>
      </c>
      <c r="I310" s="11" t="str">
        <f>IFERROR(__xludf.DUMMYFUNCTION("""COMPUTED_VALUE"""),"[MTK] Md. Tamim Khandakar")</f>
        <v>[MTK] Md. Tamim Khandakar</v>
      </c>
      <c r="J310" s="13">
        <f t="shared" si="1"/>
        <v>-1</v>
      </c>
    </row>
    <row r="311">
      <c r="A311" s="11" t="str">
        <f>IFERROR(__xludf.DUMMYFUNCTION("""COMPUTED_VALUE"""),"C")</f>
        <v>C</v>
      </c>
      <c r="B311" s="11" t="str">
        <f>IFERROR(__xludf.DUMMYFUNCTION("""COMPUTED_VALUE"""),"Slot - 15")</f>
        <v>Slot - 15</v>
      </c>
      <c r="C311" s="11" t="str">
        <f>IFERROR(__xludf.DUMMYFUNCTION("""COMPUTED_VALUE"""),"18.04.2026")</f>
        <v>18.04.2026</v>
      </c>
      <c r="D311" s="12">
        <f>IFERROR(__xludf.DUMMYFUNCTION("""COMPUTED_VALUE"""),0.5625)</f>
        <v>0.5625</v>
      </c>
      <c r="E311" s="12">
        <f>IFERROR(__xludf.DUMMYFUNCTION("""COMPUTED_VALUE"""),0.625)</f>
        <v>0.625</v>
      </c>
      <c r="F311" s="11" t="str">
        <f>IFERROR(__xludf.DUMMYFUNCTION("""COMPUTED_VALUE"""),"MAT241.6")</f>
        <v>MAT241.6</v>
      </c>
      <c r="G311" s="11" t="str">
        <f>IFERROR(__xludf.DUMMYFUNCTION("""COMPUTED_VALUE"""),"Complex Variables and Transforms (Laplace &amp; Fourier)")</f>
        <v>Complex Variables and Transforms (Laplace &amp; Fourier)</v>
      </c>
      <c r="H311" s="13">
        <f>IFERROR(__xludf.DUMMYFUNCTION("""COMPUTED_VALUE"""),40.0)</f>
        <v>40</v>
      </c>
      <c r="I311" s="11" t="str">
        <f>IFERROR(__xludf.DUMMYFUNCTION("""COMPUTED_VALUE"""),"[MTK] Md. Tamim Khandakar")</f>
        <v>[MTK] Md. Tamim Khandakar</v>
      </c>
      <c r="J311" s="13">
        <f t="shared" si="1"/>
        <v>-1</v>
      </c>
    </row>
    <row r="312">
      <c r="A312" s="11" t="str">
        <f>IFERROR(__xludf.DUMMYFUNCTION("""COMPUTED_VALUE"""),"C")</f>
        <v>C</v>
      </c>
      <c r="B312" s="11" t="str">
        <f>IFERROR(__xludf.DUMMYFUNCTION("""COMPUTED_VALUE"""),"Slot - 15")</f>
        <v>Slot - 15</v>
      </c>
      <c r="C312" s="11" t="str">
        <f>IFERROR(__xludf.DUMMYFUNCTION("""COMPUTED_VALUE"""),"18.04.2026")</f>
        <v>18.04.2026</v>
      </c>
      <c r="D312" s="12">
        <f>IFERROR(__xludf.DUMMYFUNCTION("""COMPUTED_VALUE"""),0.5625)</f>
        <v>0.5625</v>
      </c>
      <c r="E312" s="12">
        <f>IFERROR(__xludf.DUMMYFUNCTION("""COMPUTED_VALUE"""),0.625)</f>
        <v>0.625</v>
      </c>
      <c r="F312" s="11" t="str">
        <f>IFERROR(__xludf.DUMMYFUNCTION("""COMPUTED_VALUE"""),"MAT241.7")</f>
        <v>MAT241.7</v>
      </c>
      <c r="G312" s="11" t="str">
        <f>IFERROR(__xludf.DUMMYFUNCTION("""COMPUTED_VALUE"""),"Complex Variables and Transforms (Laplace &amp; Fourier)")</f>
        <v>Complex Variables and Transforms (Laplace &amp; Fourier)</v>
      </c>
      <c r="H312" s="13">
        <f>IFERROR(__xludf.DUMMYFUNCTION("""COMPUTED_VALUE"""),39.0)</f>
        <v>39</v>
      </c>
      <c r="I312" s="11" t="str">
        <f>IFERROR(__xludf.DUMMYFUNCTION("""COMPUTED_VALUE"""),"[MTK] Md. Tamim Khandakar")</f>
        <v>[MTK] Md. Tamim Khandakar</v>
      </c>
      <c r="J312" s="13">
        <f t="shared" si="1"/>
        <v>-1</v>
      </c>
    </row>
    <row r="313">
      <c r="A313" s="11" t="str">
        <f>IFERROR(__xludf.DUMMYFUNCTION("""COMPUTED_VALUE"""),"C")</f>
        <v>C</v>
      </c>
      <c r="B313" s="11" t="str">
        <f>IFERROR(__xludf.DUMMYFUNCTION("""COMPUTED_VALUE"""),"Slot - 01")</f>
        <v>Slot - 01</v>
      </c>
      <c r="C313" s="11" t="str">
        <f>IFERROR(__xludf.DUMMYFUNCTION("""COMPUTED_VALUE"""),"12.04.2026")</f>
        <v>12.04.2026</v>
      </c>
      <c r="D313" s="12">
        <f>IFERROR(__xludf.DUMMYFUNCTION("""COMPUTED_VALUE"""),0.3541666666678793)</f>
        <v>0.3541666667</v>
      </c>
      <c r="E313" s="12">
        <f>IFERROR(__xludf.DUMMYFUNCTION("""COMPUTED_VALUE"""),0.4166666666678793)</f>
        <v>0.4166666667</v>
      </c>
      <c r="F313" s="11" t="str">
        <f>IFERROR(__xludf.DUMMYFUNCTION("""COMPUTED_VALUE"""),"STA281.5")</f>
        <v>STA281.5</v>
      </c>
      <c r="G313" s="11" t="str">
        <f>IFERROR(__xludf.DUMMYFUNCTION("""COMPUTED_VALUE"""),"Statistical Methods &amp; Probability")</f>
        <v>Statistical Methods &amp; Probability</v>
      </c>
      <c r="H313" s="13">
        <f>IFERROR(__xludf.DUMMYFUNCTION("""COMPUTED_VALUE"""),40.0)</f>
        <v>40</v>
      </c>
      <c r="I313" s="11" t="str">
        <f>IFERROR(__xludf.DUMMYFUNCTION("""COMPUTED_VALUE"""),"[MUKH] Muhaimen Khan")</f>
        <v>[MUKH] Muhaimen Khan</v>
      </c>
      <c r="J313" s="13">
        <f t="shared" si="1"/>
        <v>1</v>
      </c>
    </row>
    <row r="314">
      <c r="A314" s="11" t="str">
        <f>IFERROR(__xludf.DUMMYFUNCTION("""COMPUTED_VALUE"""),"C")</f>
        <v>C</v>
      </c>
      <c r="B314" s="11" t="str">
        <f>IFERROR(__xludf.DUMMYFUNCTION("""COMPUTED_VALUE"""),"Slot - 01")</f>
        <v>Slot - 01</v>
      </c>
      <c r="C314" s="11" t="str">
        <f>IFERROR(__xludf.DUMMYFUNCTION("""COMPUTED_VALUE"""),"12.04.2026")</f>
        <v>12.04.2026</v>
      </c>
      <c r="D314" s="12">
        <f>IFERROR(__xludf.DUMMYFUNCTION("""COMPUTED_VALUE"""),0.3541666666678793)</f>
        <v>0.3541666667</v>
      </c>
      <c r="E314" s="12">
        <f>IFERROR(__xludf.DUMMYFUNCTION("""COMPUTED_VALUE"""),0.4166666666678793)</f>
        <v>0.4166666667</v>
      </c>
      <c r="F314" s="11" t="str">
        <f>IFERROR(__xludf.DUMMYFUNCTION("""COMPUTED_VALUE"""),"STA281.6")</f>
        <v>STA281.6</v>
      </c>
      <c r="G314" s="11" t="str">
        <f>IFERROR(__xludf.DUMMYFUNCTION("""COMPUTED_VALUE"""),"Statistical Methods &amp; Probability")</f>
        <v>Statistical Methods &amp; Probability</v>
      </c>
      <c r="H314" s="13">
        <f>IFERROR(__xludf.DUMMYFUNCTION("""COMPUTED_VALUE"""),40.0)</f>
        <v>40</v>
      </c>
      <c r="I314" s="11" t="str">
        <f>IFERROR(__xludf.DUMMYFUNCTION("""COMPUTED_VALUE"""),"[MUKH] Muhaimen Khan")</f>
        <v>[MUKH] Muhaimen Khan</v>
      </c>
      <c r="J314" s="13">
        <f t="shared" si="1"/>
        <v>1</v>
      </c>
    </row>
    <row r="315">
      <c r="A315" s="11" t="str">
        <f>IFERROR(__xludf.DUMMYFUNCTION("""COMPUTED_VALUE"""),"C")</f>
        <v>C</v>
      </c>
      <c r="B315" s="11" t="str">
        <f>IFERROR(__xludf.DUMMYFUNCTION("""COMPUTED_VALUE"""),"Slot - 21")</f>
        <v>Slot - 21</v>
      </c>
      <c r="C315" s="11" t="str">
        <f>IFERROR(__xludf.DUMMYFUNCTION("""COMPUTED_VALUE"""),"20.04.2026")</f>
        <v>20.04.2026</v>
      </c>
      <c r="D315" s="12">
        <f>IFERROR(__xludf.DUMMYFUNCTION("""COMPUTED_VALUE"""),0.6041666666678793)</f>
        <v>0.6041666667</v>
      </c>
      <c r="E315" s="12">
        <f>IFERROR(__xludf.DUMMYFUNCTION("""COMPUTED_VALUE"""),0.6666666666678793)</f>
        <v>0.6666666667</v>
      </c>
      <c r="F315" s="11" t="str">
        <f>IFERROR(__xludf.DUMMYFUNCTION("""COMPUTED_VALUE"""),"CSE341.4")</f>
        <v>CSE341.4</v>
      </c>
      <c r="G315" s="11" t="str">
        <f>IFERROR(__xludf.DUMMYFUNCTION("""COMPUTED_VALUE"""),"Computer Networking")</f>
        <v>Computer Networking</v>
      </c>
      <c r="H315" s="13">
        <f>IFERROR(__xludf.DUMMYFUNCTION("""COMPUTED_VALUE"""),36.0)</f>
        <v>36</v>
      </c>
      <c r="I315" s="11" t="str">
        <f>IFERROR(__xludf.DUMMYFUNCTION("""COMPUTED_VALUE"""),"[MUKH] Muhaimen Khan")</f>
        <v>[MUKH] Muhaimen Khan</v>
      </c>
      <c r="J315" s="13">
        <f t="shared" si="1"/>
        <v>1</v>
      </c>
    </row>
    <row r="316">
      <c r="A316" s="11" t="str">
        <f>IFERROR(__xludf.DUMMYFUNCTION("""COMPUTED_VALUE"""),"C")</f>
        <v>C</v>
      </c>
      <c r="B316" s="11" t="str">
        <f>IFERROR(__xludf.DUMMYFUNCTION("""COMPUTED_VALUE"""),"Slot - 21")</f>
        <v>Slot - 21</v>
      </c>
      <c r="C316" s="11" t="str">
        <f>IFERROR(__xludf.DUMMYFUNCTION("""COMPUTED_VALUE"""),"20.04.2026")</f>
        <v>20.04.2026</v>
      </c>
      <c r="D316" s="12">
        <f>IFERROR(__xludf.DUMMYFUNCTION("""COMPUTED_VALUE"""),0.6041666666678793)</f>
        <v>0.6041666667</v>
      </c>
      <c r="E316" s="12">
        <f>IFERROR(__xludf.DUMMYFUNCTION("""COMPUTED_VALUE"""),0.6666666666678793)</f>
        <v>0.6666666667</v>
      </c>
      <c r="F316" s="11" t="str">
        <f>IFERROR(__xludf.DUMMYFUNCTION("""COMPUTED_VALUE"""),"CSE341.5")</f>
        <v>CSE341.5</v>
      </c>
      <c r="G316" s="11" t="str">
        <f>IFERROR(__xludf.DUMMYFUNCTION("""COMPUTED_VALUE"""),"Computer Networking")</f>
        <v>Computer Networking</v>
      </c>
      <c r="H316" s="13">
        <f>IFERROR(__xludf.DUMMYFUNCTION("""COMPUTED_VALUE"""),37.0)</f>
        <v>37</v>
      </c>
      <c r="I316" s="11" t="str">
        <f>IFERROR(__xludf.DUMMYFUNCTION("""COMPUTED_VALUE"""),"[MUKH] Muhaimen Khan")</f>
        <v>[MUKH] Muhaimen Khan</v>
      </c>
      <c r="J316" s="13">
        <f t="shared" si="1"/>
        <v>1</v>
      </c>
    </row>
    <row r="317">
      <c r="A317" s="11" t="str">
        <f>IFERROR(__xludf.DUMMYFUNCTION("""COMPUTED_VALUE"""),"C")</f>
        <v>C</v>
      </c>
      <c r="B317" s="11" t="str">
        <f>IFERROR(__xludf.DUMMYFUNCTION("""COMPUTED_VALUE"""),"Slot - 16")</f>
        <v>Slot - 16</v>
      </c>
      <c r="C317" s="11" t="str">
        <f>IFERROR(__xludf.DUMMYFUNCTION("""COMPUTED_VALUE"""),"19.04.2026")</f>
        <v>19.04.2026</v>
      </c>
      <c r="D317" s="12">
        <f>IFERROR(__xludf.DUMMYFUNCTION("""COMPUTED_VALUE"""),0.3541666666678793)</f>
        <v>0.3541666667</v>
      </c>
      <c r="E317" s="12">
        <f>IFERROR(__xludf.DUMMYFUNCTION("""COMPUTED_VALUE"""),0.4166666666678793)</f>
        <v>0.4166666667</v>
      </c>
      <c r="F317" s="11" t="str">
        <f>IFERROR(__xludf.DUMMYFUNCTION("""COMPUTED_VALUE"""),"PHY1103.4")</f>
        <v>PHY1103.4</v>
      </c>
      <c r="G317" s="11" t="str">
        <f>IFERROR(__xludf.DUMMYFUNCTION("""COMPUTED_VALUE"""),"Physics I")</f>
        <v>Physics I</v>
      </c>
      <c r="H317" s="13">
        <f>IFERROR(__xludf.DUMMYFUNCTION("""COMPUTED_VALUE"""),31.0)</f>
        <v>31</v>
      </c>
      <c r="I317" s="11" t="str">
        <f>IFERROR(__xludf.DUMMYFUNCTION("""COMPUTED_VALUE"""),"[MUKO] Mustofa Khalid Ovi")</f>
        <v>[MUKO] Mustofa Khalid Ovi</v>
      </c>
      <c r="J317" s="13">
        <f t="shared" si="1"/>
        <v>-1</v>
      </c>
    </row>
    <row r="318">
      <c r="A318" s="11" t="str">
        <f>IFERROR(__xludf.DUMMYFUNCTION("""COMPUTED_VALUE"""),"C")</f>
        <v>C</v>
      </c>
      <c r="B318" s="11" t="str">
        <f>IFERROR(__xludf.DUMMYFUNCTION("""COMPUTED_VALUE"""),"Slot - 16")</f>
        <v>Slot - 16</v>
      </c>
      <c r="C318" s="11" t="str">
        <f>IFERROR(__xludf.DUMMYFUNCTION("""COMPUTED_VALUE"""),"19.04.2026")</f>
        <v>19.04.2026</v>
      </c>
      <c r="D318" s="12">
        <f>IFERROR(__xludf.DUMMYFUNCTION("""COMPUTED_VALUE"""),0.3541666666678793)</f>
        <v>0.3541666667</v>
      </c>
      <c r="E318" s="12">
        <f>IFERROR(__xludf.DUMMYFUNCTION("""COMPUTED_VALUE"""),0.4166666666678793)</f>
        <v>0.4166666667</v>
      </c>
      <c r="F318" s="11" t="str">
        <f>IFERROR(__xludf.DUMMYFUNCTION("""COMPUTED_VALUE"""),"PHY1103.12")</f>
        <v>PHY1103.12</v>
      </c>
      <c r="G318" s="11" t="str">
        <f>IFERROR(__xludf.DUMMYFUNCTION("""COMPUTED_VALUE"""),"Physics I")</f>
        <v>Physics I</v>
      </c>
      <c r="H318" s="13">
        <f>IFERROR(__xludf.DUMMYFUNCTION("""COMPUTED_VALUE"""),29.0)</f>
        <v>29</v>
      </c>
      <c r="I318" s="11" t="str">
        <f>IFERROR(__xludf.DUMMYFUNCTION("""COMPUTED_VALUE"""),"[MUKO] Mustofa Khalid Ovi")</f>
        <v>[MUKO] Mustofa Khalid Ovi</v>
      </c>
      <c r="J318" s="13">
        <f t="shared" si="1"/>
        <v>-1</v>
      </c>
    </row>
    <row r="319">
      <c r="A319" s="11" t="str">
        <f>IFERROR(__xludf.DUMMYFUNCTION("""COMPUTED_VALUE"""),"C")</f>
        <v>C</v>
      </c>
      <c r="B319" s="11" t="str">
        <f>IFERROR(__xludf.DUMMYFUNCTION("""COMPUTED_VALUE"""),"Slot - 17")</f>
        <v>Slot - 17</v>
      </c>
      <c r="C319" s="11" t="str">
        <f>IFERROR(__xludf.DUMMYFUNCTION("""COMPUTED_VALUE"""),"19.04.2026")</f>
        <v>19.04.2026</v>
      </c>
      <c r="D319" s="12">
        <f>IFERROR(__xludf.DUMMYFUNCTION("""COMPUTED_VALUE"""),0.4791666666678793)</f>
        <v>0.4791666667</v>
      </c>
      <c r="E319" s="12">
        <f>IFERROR(__xludf.DUMMYFUNCTION("""COMPUTED_VALUE"""),0.5416666666678793)</f>
        <v>0.5416666667</v>
      </c>
      <c r="F319" s="11" t="str">
        <f>IFERROR(__xludf.DUMMYFUNCTION("""COMPUTED_VALUE"""),"PHY181.5")</f>
        <v>PHY181.5</v>
      </c>
      <c r="G319" s="11" t="str">
        <f>IFERROR(__xludf.DUMMYFUNCTION("""COMPUTED_VALUE"""),"Physics II")</f>
        <v>Physics II</v>
      </c>
      <c r="H319" s="13">
        <f>IFERROR(__xludf.DUMMYFUNCTION("""COMPUTED_VALUE"""),40.0)</f>
        <v>40</v>
      </c>
      <c r="I319" s="11" t="str">
        <f>IFERROR(__xludf.DUMMYFUNCTION("""COMPUTED_VALUE"""),"[MUKO] Mustofa Khalid Ovi")</f>
        <v>[MUKO] Mustofa Khalid Ovi</v>
      </c>
      <c r="J319" s="13">
        <f t="shared" si="1"/>
        <v>-1</v>
      </c>
    </row>
    <row r="320">
      <c r="A320" s="11" t="str">
        <f>IFERROR(__xludf.DUMMYFUNCTION("""COMPUTED_VALUE"""),"C")</f>
        <v>C</v>
      </c>
      <c r="B320" s="11" t="str">
        <f>IFERROR(__xludf.DUMMYFUNCTION("""COMPUTED_VALUE"""),"Slot - 17")</f>
        <v>Slot - 17</v>
      </c>
      <c r="C320" s="11" t="str">
        <f>IFERROR(__xludf.DUMMYFUNCTION("""COMPUTED_VALUE"""),"19.04.2026")</f>
        <v>19.04.2026</v>
      </c>
      <c r="D320" s="12">
        <f>IFERROR(__xludf.DUMMYFUNCTION("""COMPUTED_VALUE"""),0.4791666666678793)</f>
        <v>0.4791666667</v>
      </c>
      <c r="E320" s="12">
        <f>IFERROR(__xludf.DUMMYFUNCTION("""COMPUTED_VALUE"""),0.5416666666678793)</f>
        <v>0.5416666667</v>
      </c>
      <c r="F320" s="11" t="str">
        <f>IFERROR(__xludf.DUMMYFUNCTION("""COMPUTED_VALUE"""),"PHY181.6")</f>
        <v>PHY181.6</v>
      </c>
      <c r="G320" s="11" t="str">
        <f>IFERROR(__xludf.DUMMYFUNCTION("""COMPUTED_VALUE"""),"Physics II")</f>
        <v>Physics II</v>
      </c>
      <c r="H320" s="13">
        <f>IFERROR(__xludf.DUMMYFUNCTION("""COMPUTED_VALUE"""),40.0)</f>
        <v>40</v>
      </c>
      <c r="I320" s="11" t="str">
        <f>IFERROR(__xludf.DUMMYFUNCTION("""COMPUTED_VALUE"""),"[MUKO] Mustofa Khalid Ovi")</f>
        <v>[MUKO] Mustofa Khalid Ovi</v>
      </c>
      <c r="J320" s="13">
        <f t="shared" si="1"/>
        <v>-1</v>
      </c>
    </row>
    <row r="321">
      <c r="A321" s="11" t="str">
        <f>IFERROR(__xludf.DUMMYFUNCTION("""COMPUTED_VALUE"""),"C")</f>
        <v>C</v>
      </c>
      <c r="B321" s="11" t="str">
        <f>IFERROR(__xludf.DUMMYFUNCTION("""COMPUTED_VALUE"""),"Slot - 24")</f>
        <v>Slot - 24</v>
      </c>
      <c r="C321" s="11" t="str">
        <f>IFERROR(__xludf.DUMMYFUNCTION("""COMPUTED_VALUE"""),"21.04.2026")</f>
        <v>21.04.2026</v>
      </c>
      <c r="D321" s="12">
        <f>IFERROR(__xludf.DUMMYFUNCTION("""COMPUTED_VALUE"""),0.6041666666678793)</f>
        <v>0.6041666667</v>
      </c>
      <c r="E321" s="12">
        <f>IFERROR(__xludf.DUMMYFUNCTION("""COMPUTED_VALUE"""),0.6666666666678793)</f>
        <v>0.6666666667</v>
      </c>
      <c r="F321" s="11" t="str">
        <f>IFERROR(__xludf.DUMMYFUNCTION("""COMPUTED_VALUE"""),"ECO461.5")</f>
        <v>ECO461.5</v>
      </c>
      <c r="G321" s="11" t="str">
        <f>IFERROR(__xludf.DUMMYFUNCTION("""COMPUTED_VALUE"""),"Introduction to Economics")</f>
        <v>Introduction to Economics</v>
      </c>
      <c r="H321" s="13">
        <f>IFERROR(__xludf.DUMMYFUNCTION("""COMPUTED_VALUE"""),42.0)</f>
        <v>42</v>
      </c>
      <c r="I321" s="11" t="str">
        <f>IFERROR(__xludf.DUMMYFUNCTION("""COMPUTED_VALUE"""),"[MZN] Miraz Un Nabi")</f>
        <v>[MZN] Miraz Un Nabi</v>
      </c>
      <c r="J321" s="13">
        <f t="shared" si="1"/>
        <v>1</v>
      </c>
    </row>
    <row r="322">
      <c r="A322" s="11" t="str">
        <f>IFERROR(__xludf.DUMMYFUNCTION("""COMPUTED_VALUE"""),"C")</f>
        <v>C</v>
      </c>
      <c r="B322" s="11" t="str">
        <f>IFERROR(__xludf.DUMMYFUNCTION("""COMPUTED_VALUE"""),"Slot - 24")</f>
        <v>Slot - 24</v>
      </c>
      <c r="C322" s="11" t="str">
        <f>IFERROR(__xludf.DUMMYFUNCTION("""COMPUTED_VALUE"""),"21.04.2026")</f>
        <v>21.04.2026</v>
      </c>
      <c r="D322" s="12">
        <f>IFERROR(__xludf.DUMMYFUNCTION("""COMPUTED_VALUE"""),0.6041666666678793)</f>
        <v>0.6041666667</v>
      </c>
      <c r="E322" s="12">
        <f>IFERROR(__xludf.DUMMYFUNCTION("""COMPUTED_VALUE"""),0.6666666666678793)</f>
        <v>0.6666666667</v>
      </c>
      <c r="F322" s="11" t="str">
        <f>IFERROR(__xludf.DUMMYFUNCTION("""COMPUTED_VALUE"""),"ECO461.6")</f>
        <v>ECO461.6</v>
      </c>
      <c r="G322" s="11" t="str">
        <f>IFERROR(__xludf.DUMMYFUNCTION("""COMPUTED_VALUE"""),"Introduction to Economics")</f>
        <v>Introduction to Economics</v>
      </c>
      <c r="H322" s="13">
        <f>IFERROR(__xludf.DUMMYFUNCTION("""COMPUTED_VALUE"""),42.0)</f>
        <v>42</v>
      </c>
      <c r="I322" s="11" t="str">
        <f>IFERROR(__xludf.DUMMYFUNCTION("""COMPUTED_VALUE"""),"[MZN] Miraz Un Nabi")</f>
        <v>[MZN] Miraz Un Nabi</v>
      </c>
      <c r="J322" s="13">
        <f t="shared" si="1"/>
        <v>1</v>
      </c>
    </row>
    <row r="323">
      <c r="A323" s="11" t="str">
        <f>IFERROR(__xludf.DUMMYFUNCTION("""COMPUTED_VALUE"""),"C")</f>
        <v>C</v>
      </c>
      <c r="B323" s="11" t="str">
        <f>IFERROR(__xludf.DUMMYFUNCTION("""COMPUTED_VALUE"""),"Slot - 06")</f>
        <v>Slot - 06</v>
      </c>
      <c r="C323" s="11" t="str">
        <f>IFERROR(__xludf.DUMMYFUNCTION("""COMPUTED_VALUE"""),"13.04.2026")</f>
        <v>13.04.2026</v>
      </c>
      <c r="D323" s="12">
        <f>IFERROR(__xludf.DUMMYFUNCTION("""COMPUTED_VALUE"""),0.6041666666678793)</f>
        <v>0.6041666667</v>
      </c>
      <c r="E323" s="12">
        <f>IFERROR(__xludf.DUMMYFUNCTION("""COMPUTED_VALUE"""),0.6666666666678793)</f>
        <v>0.6666666667</v>
      </c>
      <c r="F323" s="11" t="str">
        <f>IFERROR(__xludf.DUMMYFUNCTION("""COMPUTED_VALUE"""),"CSE359.1")</f>
        <v>CSE359.1</v>
      </c>
      <c r="G323" s="11" t="str">
        <f>IFERROR(__xludf.DUMMYFUNCTION("""COMPUTED_VALUE"""),"Graph Theory")</f>
        <v>Graph Theory</v>
      </c>
      <c r="H323" s="13">
        <f>IFERROR(__xludf.DUMMYFUNCTION("""COMPUTED_VALUE"""),40.0)</f>
        <v>40</v>
      </c>
      <c r="I323" s="11" t="str">
        <f>IFERROR(__xludf.DUMMYFUNCTION("""COMPUTED_VALUE"""),"[NALE] Nishat Anjum Lea")</f>
        <v>[NALE] Nishat Anjum Lea</v>
      </c>
      <c r="J323" s="13">
        <f t="shared" si="1"/>
        <v>-1</v>
      </c>
    </row>
    <row r="324">
      <c r="A324" s="11" t="str">
        <f>IFERROR(__xludf.DUMMYFUNCTION("""COMPUTED_VALUE"""),"C")</f>
        <v>C</v>
      </c>
      <c r="B324" s="11" t="str">
        <f>IFERROR(__xludf.DUMMYFUNCTION("""COMPUTED_VALUE"""),"Slot - 06")</f>
        <v>Slot - 06</v>
      </c>
      <c r="C324" s="11" t="str">
        <f>IFERROR(__xludf.DUMMYFUNCTION("""COMPUTED_VALUE"""),"13.04.2026")</f>
        <v>13.04.2026</v>
      </c>
      <c r="D324" s="12">
        <f>IFERROR(__xludf.DUMMYFUNCTION("""COMPUTED_VALUE"""),0.6041666666678793)</f>
        <v>0.6041666667</v>
      </c>
      <c r="E324" s="12">
        <f>IFERROR(__xludf.DUMMYFUNCTION("""COMPUTED_VALUE"""),0.6666666666678793)</f>
        <v>0.6666666667</v>
      </c>
      <c r="F324" s="11" t="str">
        <f>IFERROR(__xludf.DUMMYFUNCTION("""COMPUTED_VALUE"""),"CSE359.2")</f>
        <v>CSE359.2</v>
      </c>
      <c r="G324" s="11" t="str">
        <f>IFERROR(__xludf.DUMMYFUNCTION("""COMPUTED_VALUE"""),"Graph Theory")</f>
        <v>Graph Theory</v>
      </c>
      <c r="H324" s="13">
        <f>IFERROR(__xludf.DUMMYFUNCTION("""COMPUTED_VALUE"""),40.0)</f>
        <v>40</v>
      </c>
      <c r="I324" s="11" t="str">
        <f>IFERROR(__xludf.DUMMYFUNCTION("""COMPUTED_VALUE"""),"[NALE] Nishat Anjum Lea")</f>
        <v>[NALE] Nishat Anjum Lea</v>
      </c>
      <c r="J324" s="13">
        <f t="shared" si="1"/>
        <v>-1</v>
      </c>
    </row>
    <row r="325">
      <c r="A325" s="11" t="str">
        <f>IFERROR(__xludf.DUMMYFUNCTION("""COMPUTED_VALUE"""),"C")</f>
        <v>C</v>
      </c>
      <c r="B325" s="11" t="str">
        <f>IFERROR(__xludf.DUMMYFUNCTION("""COMPUTED_VALUE"""),"Slot - 06")</f>
        <v>Slot - 06</v>
      </c>
      <c r="C325" s="11" t="str">
        <f>IFERROR(__xludf.DUMMYFUNCTION("""COMPUTED_VALUE"""),"13.04.2026")</f>
        <v>13.04.2026</v>
      </c>
      <c r="D325" s="12">
        <f>IFERROR(__xludf.DUMMYFUNCTION("""COMPUTED_VALUE"""),0.6041666666678793)</f>
        <v>0.6041666667</v>
      </c>
      <c r="E325" s="12">
        <f>IFERROR(__xludf.DUMMYFUNCTION("""COMPUTED_VALUE"""),0.6666666666678793)</f>
        <v>0.6666666667</v>
      </c>
      <c r="F325" s="11" t="str">
        <f>IFERROR(__xludf.DUMMYFUNCTION("""COMPUTED_VALUE"""),"CSE359.3")</f>
        <v>CSE359.3</v>
      </c>
      <c r="G325" s="11" t="str">
        <f>IFERROR(__xludf.DUMMYFUNCTION("""COMPUTED_VALUE"""),"Graph Theory")</f>
        <v>Graph Theory</v>
      </c>
      <c r="H325" s="13">
        <f>IFERROR(__xludf.DUMMYFUNCTION("""COMPUTED_VALUE"""),41.0)</f>
        <v>41</v>
      </c>
      <c r="I325" s="11" t="str">
        <f>IFERROR(__xludf.DUMMYFUNCTION("""COMPUTED_VALUE"""),"[NALE] Nishat Anjum Lea")</f>
        <v>[NALE] Nishat Anjum Lea</v>
      </c>
      <c r="J325" s="13">
        <f t="shared" si="1"/>
        <v>-1</v>
      </c>
    </row>
    <row r="326">
      <c r="A326" s="11" t="str">
        <f>IFERROR(__xludf.DUMMYFUNCTION("""COMPUTED_VALUE"""),"D")</f>
        <v>D</v>
      </c>
      <c r="B326" s="11" t="str">
        <f>IFERROR(__xludf.DUMMYFUNCTION("""COMPUTED_VALUE"""),"Slot - G")</f>
        <v>Slot - G</v>
      </c>
      <c r="C326" s="11" t="str">
        <f>IFERROR(__xludf.DUMMYFUNCTION("""COMPUTED_VALUE"""),"24.04.2026")</f>
        <v>24.04.2026</v>
      </c>
      <c r="D326" s="12">
        <f>IFERROR(__xludf.DUMMYFUNCTION("""COMPUTED_VALUE"""),0.375)</f>
        <v>0.375</v>
      </c>
      <c r="E326" s="12">
        <f>IFERROR(__xludf.DUMMYFUNCTION("""COMPUTED_VALUE"""),0.4375)</f>
        <v>0.4375</v>
      </c>
      <c r="F326" s="11" t="str">
        <f>IFERROR(__xludf.DUMMYFUNCTION("""COMPUTED_VALUE"""),"CSE265.13")</f>
        <v>CSE265.13</v>
      </c>
      <c r="G326" s="11" t="str">
        <f>IFERROR(__xludf.DUMMYFUNCTION("""COMPUTED_VALUE"""),"Algorithm")</f>
        <v>Algorithm</v>
      </c>
      <c r="H326" s="13">
        <f>IFERROR(__xludf.DUMMYFUNCTION("""COMPUTED_VALUE"""),39.0)</f>
        <v>39</v>
      </c>
      <c r="I326" s="11" t="str">
        <f>IFERROR(__xludf.DUMMYFUNCTION("""COMPUTED_VALUE"""),"[NALE] Nishat Anjum Lea")</f>
        <v>[NALE] Nishat Anjum Lea</v>
      </c>
      <c r="J326" s="13">
        <f t="shared" si="1"/>
        <v>-1</v>
      </c>
    </row>
    <row r="327">
      <c r="A327" s="11" t="str">
        <f>IFERROR(__xludf.DUMMYFUNCTION("""COMPUTED_VALUE"""),"C")</f>
        <v>C</v>
      </c>
      <c r="B327" s="11" t="str">
        <f>IFERROR(__xludf.DUMMYFUNCTION("""COMPUTED_VALUE"""),"Slot - 20")</f>
        <v>Slot - 20</v>
      </c>
      <c r="C327" s="11" t="str">
        <f>IFERROR(__xludf.DUMMYFUNCTION("""COMPUTED_VALUE"""),"20.04.2026")</f>
        <v>20.04.2026</v>
      </c>
      <c r="D327" s="12">
        <f>IFERROR(__xludf.DUMMYFUNCTION("""COMPUTED_VALUE"""),0.4791666666678793)</f>
        <v>0.4791666667</v>
      </c>
      <c r="E327" s="12">
        <f>IFERROR(__xludf.DUMMYFUNCTION("""COMPUTED_VALUE"""),0.5416666666678793)</f>
        <v>0.5416666667</v>
      </c>
      <c r="F327" s="11" t="str">
        <f>IFERROR(__xludf.DUMMYFUNCTION("""COMPUTED_VALUE"""),"CSE363.10")</f>
        <v>CSE363.10</v>
      </c>
      <c r="G327" s="11" t="str">
        <f>IFERROR(__xludf.DUMMYFUNCTION("""COMPUTED_VALUE"""),"Microprocessor Design &amp; Assembly Language Programming")</f>
        <v>Microprocessor Design &amp; Assembly Language Programming</v>
      </c>
      <c r="H327" s="13">
        <f>IFERROR(__xludf.DUMMYFUNCTION("""COMPUTED_VALUE"""),36.0)</f>
        <v>36</v>
      </c>
      <c r="I327" s="11" t="str">
        <f>IFERROR(__xludf.DUMMYFUNCTION("""COMPUTED_VALUE"""),"[NAT] Nawrin Tabssum")</f>
        <v>[NAT] Nawrin Tabssum</v>
      </c>
      <c r="J327" s="13">
        <f t="shared" si="1"/>
        <v>1</v>
      </c>
    </row>
    <row r="328">
      <c r="A328" s="11" t="str">
        <f>IFERROR(__xludf.DUMMYFUNCTION("""COMPUTED_VALUE"""),"C")</f>
        <v>C</v>
      </c>
      <c r="B328" s="11" t="str">
        <f>IFERROR(__xludf.DUMMYFUNCTION("""COMPUTED_VALUE"""),"Slot - 20")</f>
        <v>Slot - 20</v>
      </c>
      <c r="C328" s="11" t="str">
        <f>IFERROR(__xludf.DUMMYFUNCTION("""COMPUTED_VALUE"""),"20.04.2026")</f>
        <v>20.04.2026</v>
      </c>
      <c r="D328" s="12">
        <f>IFERROR(__xludf.DUMMYFUNCTION("""COMPUTED_VALUE"""),0.4791666666678793)</f>
        <v>0.4791666667</v>
      </c>
      <c r="E328" s="12">
        <f>IFERROR(__xludf.DUMMYFUNCTION("""COMPUTED_VALUE"""),0.5416666666678793)</f>
        <v>0.5416666667</v>
      </c>
      <c r="F328" s="11" t="str">
        <f>IFERROR(__xludf.DUMMYFUNCTION("""COMPUTED_VALUE"""),"CSE363.11")</f>
        <v>CSE363.11</v>
      </c>
      <c r="G328" s="11" t="str">
        <f>IFERROR(__xludf.DUMMYFUNCTION("""COMPUTED_VALUE"""),"Microprocessor Design &amp; Assembly Language Programming")</f>
        <v>Microprocessor Design &amp; Assembly Language Programming</v>
      </c>
      <c r="H328" s="13">
        <f>IFERROR(__xludf.DUMMYFUNCTION("""COMPUTED_VALUE"""),37.0)</f>
        <v>37</v>
      </c>
      <c r="I328" s="11" t="str">
        <f>IFERROR(__xludf.DUMMYFUNCTION("""COMPUTED_VALUE"""),"[NAT] Nawrin Tabssum")</f>
        <v>[NAT] Nawrin Tabssum</v>
      </c>
      <c r="J328" s="13">
        <f t="shared" si="1"/>
        <v>1</v>
      </c>
    </row>
    <row r="329">
      <c r="A329" s="11" t="str">
        <f>IFERROR(__xludf.DUMMYFUNCTION("""COMPUTED_VALUE"""),"C")</f>
        <v>C</v>
      </c>
      <c r="B329" s="11" t="str">
        <f>IFERROR(__xludf.DUMMYFUNCTION("""COMPUTED_VALUE"""),"Slot - 09")</f>
        <v>Slot - 09</v>
      </c>
      <c r="C329" s="11" t="str">
        <f>IFERROR(__xludf.DUMMYFUNCTION("""COMPUTED_VALUE"""),"15.04.2026")</f>
        <v>15.04.2026</v>
      </c>
      <c r="D329" s="12">
        <f>IFERROR(__xludf.DUMMYFUNCTION("""COMPUTED_VALUE"""),0.6041666666678793)</f>
        <v>0.6041666667</v>
      </c>
      <c r="E329" s="12">
        <f>IFERROR(__xludf.DUMMYFUNCTION("""COMPUTED_VALUE"""),0.6666666666678793)</f>
        <v>0.6666666667</v>
      </c>
      <c r="F329" s="11" t="str">
        <f>IFERROR(__xludf.DUMMYFUNCTION("""COMPUTED_VALUE"""),"ENG105.21")</f>
        <v>ENG105.21</v>
      </c>
      <c r="G329" s="11" t="str">
        <f>IFERROR(__xludf.DUMMYFUNCTION("""COMPUTED_VALUE"""),"Public Speaking")</f>
        <v>Public Speaking</v>
      </c>
      <c r="H329" s="13">
        <f>IFERROR(__xludf.DUMMYFUNCTION("""COMPUTED_VALUE"""),29.0)</f>
        <v>29</v>
      </c>
      <c r="I329" s="11" t="str">
        <f>IFERROR(__xludf.DUMMYFUNCTION("""COMPUTED_VALUE"""),"[NCD] Nahin Chowdhury")</f>
        <v>[NCD] Nahin Chowdhury</v>
      </c>
      <c r="J329" s="13">
        <f t="shared" si="1"/>
        <v>-1</v>
      </c>
    </row>
    <row r="330">
      <c r="A330" s="11" t="str">
        <f>IFERROR(__xludf.DUMMYFUNCTION("""COMPUTED_VALUE"""),"C")</f>
        <v>C</v>
      </c>
      <c r="B330" s="11" t="str">
        <f>IFERROR(__xludf.DUMMYFUNCTION("""COMPUTED_VALUE"""),"Slot - 14")</f>
        <v>Slot - 14</v>
      </c>
      <c r="C330" s="11" t="str">
        <f>IFERROR(__xludf.DUMMYFUNCTION("""COMPUTED_VALUE"""),"18.04.2026")</f>
        <v>18.04.2026</v>
      </c>
      <c r="D330" s="12">
        <f>IFERROR(__xludf.DUMMYFUNCTION("""COMPUTED_VALUE"""),0.4583333333321207)</f>
        <v>0.4583333333</v>
      </c>
      <c r="E330" s="12">
        <f>IFERROR(__xludf.DUMMYFUNCTION("""COMPUTED_VALUE"""),0.5208333333321207)</f>
        <v>0.5208333333</v>
      </c>
      <c r="F330" s="11" t="str">
        <f>IFERROR(__xludf.DUMMYFUNCTION("""COMPUTED_VALUE"""),"PHY1103.8")</f>
        <v>PHY1103.8</v>
      </c>
      <c r="G330" s="11" t="str">
        <f>IFERROR(__xludf.DUMMYFUNCTION("""COMPUTED_VALUE"""),"Physics I")</f>
        <v>Physics I</v>
      </c>
      <c r="H330" s="13">
        <f>IFERROR(__xludf.DUMMYFUNCTION("""COMPUTED_VALUE"""),31.0)</f>
        <v>31</v>
      </c>
      <c r="I330" s="11" t="str">
        <f>IFERROR(__xludf.DUMMYFUNCTION("""COMPUTED_VALUE"""),"[NDTH] Nipa Debnath")</f>
        <v>[NDTH] Nipa Debnath</v>
      </c>
      <c r="J330" s="13">
        <f t="shared" si="1"/>
        <v>1</v>
      </c>
    </row>
    <row r="331">
      <c r="A331" s="11" t="str">
        <f>IFERROR(__xludf.DUMMYFUNCTION("""COMPUTED_VALUE"""),"C")</f>
        <v>C</v>
      </c>
      <c r="B331" s="11" t="str">
        <f>IFERROR(__xludf.DUMMYFUNCTION("""COMPUTED_VALUE"""),"Slot - 14")</f>
        <v>Slot - 14</v>
      </c>
      <c r="C331" s="11" t="str">
        <f>IFERROR(__xludf.DUMMYFUNCTION("""COMPUTED_VALUE"""),"18.04.2026")</f>
        <v>18.04.2026</v>
      </c>
      <c r="D331" s="12">
        <f>IFERROR(__xludf.DUMMYFUNCTION("""COMPUTED_VALUE"""),0.4583333333321207)</f>
        <v>0.4583333333</v>
      </c>
      <c r="E331" s="12">
        <f>IFERROR(__xludf.DUMMYFUNCTION("""COMPUTED_VALUE"""),0.5208333333321207)</f>
        <v>0.5208333333</v>
      </c>
      <c r="F331" s="11" t="str">
        <f>IFERROR(__xludf.DUMMYFUNCTION("""COMPUTED_VALUE"""),"PHY161.1")</f>
        <v>PHY161.1</v>
      </c>
      <c r="G331" s="11" t="str">
        <f>IFERROR(__xludf.DUMMYFUNCTION("""COMPUTED_VALUE"""),"Physics I")</f>
        <v>Physics I</v>
      </c>
      <c r="H331" s="13">
        <f>IFERROR(__xludf.DUMMYFUNCTION("""COMPUTED_VALUE"""),41.0)</f>
        <v>41</v>
      </c>
      <c r="I331" s="11" t="str">
        <f>IFERROR(__xludf.DUMMYFUNCTION("""COMPUTED_VALUE"""),"[NDTH] Nipa Debnath")</f>
        <v>[NDTH] Nipa Debnath</v>
      </c>
      <c r="J331" s="13">
        <f t="shared" si="1"/>
        <v>1</v>
      </c>
    </row>
    <row r="332">
      <c r="A332" s="11" t="str">
        <f>IFERROR(__xludf.DUMMYFUNCTION("""COMPUTED_VALUE"""),"C")</f>
        <v>C</v>
      </c>
      <c r="B332" s="11" t="str">
        <f>IFERROR(__xludf.DUMMYFUNCTION("""COMPUTED_VALUE"""),"Slot - 08")</f>
        <v>Slot - 08</v>
      </c>
      <c r="C332" s="11" t="str">
        <f>IFERROR(__xludf.DUMMYFUNCTION("""COMPUTED_VALUE"""),"15.04.2026")</f>
        <v>15.04.2026</v>
      </c>
      <c r="D332" s="12">
        <f>IFERROR(__xludf.DUMMYFUNCTION("""COMPUTED_VALUE"""),0.4791666666678793)</f>
        <v>0.4791666667</v>
      </c>
      <c r="E332" s="12">
        <f>IFERROR(__xludf.DUMMYFUNCTION("""COMPUTED_VALUE"""),0.5416666666678793)</f>
        <v>0.5416666667</v>
      </c>
      <c r="F332" s="11" t="str">
        <f>IFERROR(__xludf.DUMMYFUNCTION("""COMPUTED_VALUE"""),"CSE261.3")</f>
        <v>CSE261.3</v>
      </c>
      <c r="G332" s="11" t="str">
        <f>IFERROR(__xludf.DUMMYFUNCTION("""COMPUTED_VALUE"""),"Numerical Methods")</f>
        <v>Numerical Methods</v>
      </c>
      <c r="H332" s="13">
        <f>IFERROR(__xludf.DUMMYFUNCTION("""COMPUTED_VALUE"""),40.0)</f>
        <v>40</v>
      </c>
      <c r="I332" s="11" t="str">
        <f>IFERROR(__xludf.DUMMYFUNCTION("""COMPUTED_VALUE"""),"[NI] Md. Nazrul Islam")</f>
        <v>[NI] Md. Nazrul Islam</v>
      </c>
      <c r="J332" s="13">
        <f t="shared" si="1"/>
        <v>-1</v>
      </c>
    </row>
    <row r="333">
      <c r="A333" s="11" t="str">
        <f>IFERROR(__xludf.DUMMYFUNCTION("""COMPUTED_VALUE"""),"C")</f>
        <v>C</v>
      </c>
      <c r="B333" s="11" t="str">
        <f>IFERROR(__xludf.DUMMYFUNCTION("""COMPUTED_VALUE"""),"Slot - 08")</f>
        <v>Slot - 08</v>
      </c>
      <c r="C333" s="11" t="str">
        <f>IFERROR(__xludf.DUMMYFUNCTION("""COMPUTED_VALUE"""),"15.04.2026")</f>
        <v>15.04.2026</v>
      </c>
      <c r="D333" s="12">
        <f>IFERROR(__xludf.DUMMYFUNCTION("""COMPUTED_VALUE"""),0.4791666666678793)</f>
        <v>0.4791666667</v>
      </c>
      <c r="E333" s="12">
        <f>IFERROR(__xludf.DUMMYFUNCTION("""COMPUTED_VALUE"""),0.5416666666678793)</f>
        <v>0.5416666667</v>
      </c>
      <c r="F333" s="11" t="str">
        <f>IFERROR(__xludf.DUMMYFUNCTION("""COMPUTED_VALUE"""),"CSE261.4")</f>
        <v>CSE261.4</v>
      </c>
      <c r="G333" s="11" t="str">
        <f>IFERROR(__xludf.DUMMYFUNCTION("""COMPUTED_VALUE"""),"Numerical Methods")</f>
        <v>Numerical Methods</v>
      </c>
      <c r="H333" s="13">
        <f>IFERROR(__xludf.DUMMYFUNCTION("""COMPUTED_VALUE"""),40.0)</f>
        <v>40</v>
      </c>
      <c r="I333" s="11" t="str">
        <f>IFERROR(__xludf.DUMMYFUNCTION("""COMPUTED_VALUE"""),"[NI] Md. Nazrul Islam")</f>
        <v>[NI] Md. Nazrul Islam</v>
      </c>
      <c r="J333" s="13">
        <f t="shared" si="1"/>
        <v>-1</v>
      </c>
    </row>
    <row r="334">
      <c r="A334" s="11" t="str">
        <f>IFERROR(__xludf.DUMMYFUNCTION("""COMPUTED_VALUE"""),"C")</f>
        <v>C</v>
      </c>
      <c r="B334" s="11" t="str">
        <f>IFERROR(__xludf.DUMMYFUNCTION("""COMPUTED_VALUE"""),"Slot - 20")</f>
        <v>Slot - 20</v>
      </c>
      <c r="C334" s="11" t="str">
        <f>IFERROR(__xludf.DUMMYFUNCTION("""COMPUTED_VALUE"""),"20.04.2026")</f>
        <v>20.04.2026</v>
      </c>
      <c r="D334" s="12">
        <f>IFERROR(__xludf.DUMMYFUNCTION("""COMPUTED_VALUE"""),0.4791666666678793)</f>
        <v>0.4791666667</v>
      </c>
      <c r="E334" s="12">
        <f>IFERROR(__xludf.DUMMYFUNCTION("""COMPUTED_VALUE"""),0.5416666666678793)</f>
        <v>0.5416666667</v>
      </c>
      <c r="F334" s="11" t="str">
        <f>IFERROR(__xludf.DUMMYFUNCTION("""COMPUTED_VALUE"""),"CSE161.3")</f>
        <v>CSE161.3</v>
      </c>
      <c r="G334" s="11" t="str">
        <f>IFERROR(__xludf.DUMMYFUNCTION("""COMPUTED_VALUE"""),"Programming Language I")</f>
        <v>Programming Language I</v>
      </c>
      <c r="H334" s="13">
        <f>IFERROR(__xludf.DUMMYFUNCTION("""COMPUTED_VALUE"""),42.0)</f>
        <v>42</v>
      </c>
      <c r="I334" s="11" t="str">
        <f>IFERROR(__xludf.DUMMYFUNCTION("""COMPUTED_VALUE"""),"[NI] Md. Nazrul Islam")</f>
        <v>[NI] Md. Nazrul Islam</v>
      </c>
      <c r="J334" s="13">
        <f t="shared" si="1"/>
        <v>-1</v>
      </c>
    </row>
    <row r="335">
      <c r="A335" s="11" t="str">
        <f>IFERROR(__xludf.DUMMYFUNCTION("""COMPUTED_VALUE"""),"C")</f>
        <v>C</v>
      </c>
      <c r="B335" s="11" t="str">
        <f>IFERROR(__xludf.DUMMYFUNCTION("""COMPUTED_VALUE"""),"Slot - 20")</f>
        <v>Slot - 20</v>
      </c>
      <c r="C335" s="11" t="str">
        <f>IFERROR(__xludf.DUMMYFUNCTION("""COMPUTED_VALUE"""),"20.04.2026")</f>
        <v>20.04.2026</v>
      </c>
      <c r="D335" s="12">
        <f>IFERROR(__xludf.DUMMYFUNCTION("""COMPUTED_VALUE"""),0.4791666666678793)</f>
        <v>0.4791666667</v>
      </c>
      <c r="E335" s="12">
        <f>IFERROR(__xludf.DUMMYFUNCTION("""COMPUTED_VALUE"""),0.5416666666678793)</f>
        <v>0.5416666667</v>
      </c>
      <c r="F335" s="11" t="str">
        <f>IFERROR(__xludf.DUMMYFUNCTION("""COMPUTED_VALUE"""),"CSE161.4")</f>
        <v>CSE161.4</v>
      </c>
      <c r="G335" s="11" t="str">
        <f>IFERROR(__xludf.DUMMYFUNCTION("""COMPUTED_VALUE"""),"Programming Language I")</f>
        <v>Programming Language I</v>
      </c>
      <c r="H335" s="13">
        <f>IFERROR(__xludf.DUMMYFUNCTION("""COMPUTED_VALUE"""),43.0)</f>
        <v>43</v>
      </c>
      <c r="I335" s="11" t="str">
        <f>IFERROR(__xludf.DUMMYFUNCTION("""COMPUTED_VALUE"""),"[NI] Md. Nazrul Islam")</f>
        <v>[NI] Md. Nazrul Islam</v>
      </c>
      <c r="J335" s="13">
        <f t="shared" si="1"/>
        <v>-1</v>
      </c>
    </row>
    <row r="336">
      <c r="A336" s="11" t="str">
        <f>IFERROR(__xludf.DUMMYFUNCTION("""COMPUTED_VALUE"""),"C")</f>
        <v>C</v>
      </c>
      <c r="B336" s="11" t="str">
        <f>IFERROR(__xludf.DUMMYFUNCTION("""COMPUTED_VALUE"""),"Slot - 21")</f>
        <v>Slot - 21</v>
      </c>
      <c r="C336" s="11" t="str">
        <f>IFERROR(__xludf.DUMMYFUNCTION("""COMPUTED_VALUE"""),"20.04.2026")</f>
        <v>20.04.2026</v>
      </c>
      <c r="D336" s="12">
        <f>IFERROR(__xludf.DUMMYFUNCTION("""COMPUTED_VALUE"""),0.6041666666678793)</f>
        <v>0.6041666667</v>
      </c>
      <c r="E336" s="12">
        <f>IFERROR(__xludf.DUMMYFUNCTION("""COMPUTED_VALUE"""),0.6666666666678793)</f>
        <v>0.6666666667</v>
      </c>
      <c r="F336" s="11" t="str">
        <f>IFERROR(__xludf.DUMMYFUNCTION("""COMPUTED_VALUE"""),"CSE161.9")</f>
        <v>CSE161.9</v>
      </c>
      <c r="G336" s="11" t="str">
        <f>IFERROR(__xludf.DUMMYFUNCTION("""COMPUTED_VALUE"""),"Programming Language I")</f>
        <v>Programming Language I</v>
      </c>
      <c r="H336" s="13">
        <f>IFERROR(__xludf.DUMMYFUNCTION("""COMPUTED_VALUE"""),43.0)</f>
        <v>43</v>
      </c>
      <c r="I336" s="11" t="str">
        <f>IFERROR(__xludf.DUMMYFUNCTION("""COMPUTED_VALUE"""),"[NIBI] Sheikh Md. Nibir")</f>
        <v>[NIBI] Sheikh Md. Nibir</v>
      </c>
      <c r="J336" s="13">
        <f t="shared" si="1"/>
        <v>1</v>
      </c>
    </row>
    <row r="337">
      <c r="A337" s="11" t="str">
        <f>IFERROR(__xludf.DUMMYFUNCTION("""COMPUTED_VALUE"""),"C")</f>
        <v>C</v>
      </c>
      <c r="B337" s="11" t="str">
        <f>IFERROR(__xludf.DUMMYFUNCTION("""COMPUTED_VALUE"""),"Slot - 21")</f>
        <v>Slot - 21</v>
      </c>
      <c r="C337" s="11" t="str">
        <f>IFERROR(__xludf.DUMMYFUNCTION("""COMPUTED_VALUE"""),"20.04.2026")</f>
        <v>20.04.2026</v>
      </c>
      <c r="D337" s="12">
        <f>IFERROR(__xludf.DUMMYFUNCTION("""COMPUTED_VALUE"""),0.6041666666678793)</f>
        <v>0.6041666667</v>
      </c>
      <c r="E337" s="12">
        <f>IFERROR(__xludf.DUMMYFUNCTION("""COMPUTED_VALUE"""),0.6666666666678793)</f>
        <v>0.6666666667</v>
      </c>
      <c r="F337" s="11" t="str">
        <f>IFERROR(__xludf.DUMMYFUNCTION("""COMPUTED_VALUE"""),"CSE241.7")</f>
        <v>CSE241.7</v>
      </c>
      <c r="G337" s="11" t="str">
        <f>IFERROR(__xludf.DUMMYFUNCTION("""COMPUTED_VALUE"""),"Data Structures")</f>
        <v>Data Structures</v>
      </c>
      <c r="H337" s="13">
        <f>IFERROR(__xludf.DUMMYFUNCTION("""COMPUTED_VALUE"""),23.0)</f>
        <v>23</v>
      </c>
      <c r="I337" s="11" t="str">
        <f>IFERROR(__xludf.DUMMYFUNCTION("""COMPUTED_VALUE"""),"[NIBI] Sheikh Md. Nibir")</f>
        <v>[NIBI] Sheikh Md. Nibir</v>
      </c>
      <c r="J337" s="13">
        <f t="shared" si="1"/>
        <v>1</v>
      </c>
    </row>
    <row r="338">
      <c r="A338" s="11" t="str">
        <f>IFERROR(__xludf.DUMMYFUNCTION("""COMPUTED_VALUE"""),"C")</f>
        <v>C</v>
      </c>
      <c r="B338" s="11" t="str">
        <f>IFERROR(__xludf.DUMMYFUNCTION("""COMPUTED_VALUE"""),"Slot - 10")</f>
        <v>Slot - 10</v>
      </c>
      <c r="C338" s="11" t="str">
        <f>IFERROR(__xludf.DUMMYFUNCTION("""COMPUTED_VALUE"""),"16.04.2026")</f>
        <v>16.04.2026</v>
      </c>
      <c r="D338" s="12">
        <f>IFERROR(__xludf.DUMMYFUNCTION("""COMPUTED_VALUE"""),0.3541666666678793)</f>
        <v>0.3541666667</v>
      </c>
      <c r="E338" s="12">
        <f>IFERROR(__xludf.DUMMYFUNCTION("""COMPUTED_VALUE"""),0.4166666666678793)</f>
        <v>0.4166666667</v>
      </c>
      <c r="F338" s="11" t="str">
        <f>IFERROR(__xludf.DUMMYFUNCTION("""COMPUTED_VALUE"""),"CSE265.10")</f>
        <v>CSE265.10</v>
      </c>
      <c r="G338" s="11" t="str">
        <f>IFERROR(__xludf.DUMMYFUNCTION("""COMPUTED_VALUE"""),"Algorithm")</f>
        <v>Algorithm</v>
      </c>
      <c r="H338" s="13">
        <f>IFERROR(__xludf.DUMMYFUNCTION("""COMPUTED_VALUE"""),40.0)</f>
        <v>40</v>
      </c>
      <c r="I338" s="11" t="str">
        <f>IFERROR(__xludf.DUMMYFUNCTION("""COMPUTED_VALUE"""),"[NKY] Nafisa Khan Youkee")</f>
        <v>[NKY] Nafisa Khan Youkee</v>
      </c>
      <c r="J338" s="13">
        <f t="shared" si="1"/>
        <v>-1</v>
      </c>
    </row>
    <row r="339">
      <c r="A339" s="11" t="str">
        <f>IFERROR(__xludf.DUMMYFUNCTION("""COMPUTED_VALUE"""),"C")</f>
        <v>C</v>
      </c>
      <c r="B339" s="11" t="str">
        <f>IFERROR(__xludf.DUMMYFUNCTION("""COMPUTED_VALUE"""),"Slot - 10")</f>
        <v>Slot - 10</v>
      </c>
      <c r="C339" s="11" t="str">
        <f>IFERROR(__xludf.DUMMYFUNCTION("""COMPUTED_VALUE"""),"16.04.2026")</f>
        <v>16.04.2026</v>
      </c>
      <c r="D339" s="12">
        <f>IFERROR(__xludf.DUMMYFUNCTION("""COMPUTED_VALUE"""),0.3541666666678793)</f>
        <v>0.3541666667</v>
      </c>
      <c r="E339" s="12">
        <f>IFERROR(__xludf.DUMMYFUNCTION("""COMPUTED_VALUE"""),0.4166666666678793)</f>
        <v>0.4166666667</v>
      </c>
      <c r="F339" s="11" t="str">
        <f>IFERROR(__xludf.DUMMYFUNCTION("""COMPUTED_VALUE"""),"CSE265.11")</f>
        <v>CSE265.11</v>
      </c>
      <c r="G339" s="11" t="str">
        <f>IFERROR(__xludf.DUMMYFUNCTION("""COMPUTED_VALUE"""),"Algorithm")</f>
        <v>Algorithm</v>
      </c>
      <c r="H339" s="13">
        <f>IFERROR(__xludf.DUMMYFUNCTION("""COMPUTED_VALUE"""),40.0)</f>
        <v>40</v>
      </c>
      <c r="I339" s="11" t="str">
        <f>IFERROR(__xludf.DUMMYFUNCTION("""COMPUTED_VALUE"""),"[NKY] Nafisa Khan Youkee")</f>
        <v>[NKY] Nafisa Khan Youkee</v>
      </c>
      <c r="J339" s="13">
        <f t="shared" si="1"/>
        <v>-1</v>
      </c>
    </row>
    <row r="340">
      <c r="A340" s="11" t="str">
        <f>IFERROR(__xludf.DUMMYFUNCTION("""COMPUTED_VALUE"""),"C")</f>
        <v>C</v>
      </c>
      <c r="B340" s="11" t="str">
        <f>IFERROR(__xludf.DUMMYFUNCTION("""COMPUTED_VALUE"""),"Slot - 15")</f>
        <v>Slot - 15</v>
      </c>
      <c r="C340" s="11" t="str">
        <f>IFERROR(__xludf.DUMMYFUNCTION("""COMPUTED_VALUE"""),"18.04.2026")</f>
        <v>18.04.2026</v>
      </c>
      <c r="D340" s="12">
        <f>IFERROR(__xludf.DUMMYFUNCTION("""COMPUTED_VALUE"""),0.5625)</f>
        <v>0.5625</v>
      </c>
      <c r="E340" s="12">
        <f>IFERROR(__xludf.DUMMYFUNCTION("""COMPUTED_VALUE"""),0.625)</f>
        <v>0.625</v>
      </c>
      <c r="F340" s="11" t="str">
        <f>IFERROR(__xludf.DUMMYFUNCTION("""COMPUTED_VALUE"""),"CSE383.11")</f>
        <v>CSE383.11</v>
      </c>
      <c r="G340" s="11" t="str">
        <f>IFERROR(__xludf.DUMMYFUNCTION("""COMPUTED_VALUE"""),"Database Design")</f>
        <v>Database Design</v>
      </c>
      <c r="H340" s="13">
        <f>IFERROR(__xludf.DUMMYFUNCTION("""COMPUTED_VALUE"""),39.0)</f>
        <v>39</v>
      </c>
      <c r="I340" s="11" t="str">
        <f>IFERROR(__xludf.DUMMYFUNCTION("""COMPUTED_VALUE"""),"[NNAF] Nuzhat Nairy Afrin")</f>
        <v>[NNAF] Nuzhat Nairy Afrin</v>
      </c>
      <c r="J340" s="13">
        <f t="shared" si="1"/>
        <v>1</v>
      </c>
    </row>
    <row r="341">
      <c r="A341" s="11" t="str">
        <f>IFERROR(__xludf.DUMMYFUNCTION("""COMPUTED_VALUE"""),"C")</f>
        <v>C</v>
      </c>
      <c r="B341" s="11" t="str">
        <f>IFERROR(__xludf.DUMMYFUNCTION("""COMPUTED_VALUE"""),"Slot - 15")</f>
        <v>Slot - 15</v>
      </c>
      <c r="C341" s="11" t="str">
        <f>IFERROR(__xludf.DUMMYFUNCTION("""COMPUTED_VALUE"""),"18.04.2026")</f>
        <v>18.04.2026</v>
      </c>
      <c r="D341" s="12">
        <f>IFERROR(__xludf.DUMMYFUNCTION("""COMPUTED_VALUE"""),0.5625)</f>
        <v>0.5625</v>
      </c>
      <c r="E341" s="12">
        <f>IFERROR(__xludf.DUMMYFUNCTION("""COMPUTED_VALUE"""),0.625)</f>
        <v>0.625</v>
      </c>
      <c r="F341" s="11" t="str">
        <f>IFERROR(__xludf.DUMMYFUNCTION("""COMPUTED_VALUE"""),"CSE383.12")</f>
        <v>CSE383.12</v>
      </c>
      <c r="G341" s="11" t="str">
        <f>IFERROR(__xludf.DUMMYFUNCTION("""COMPUTED_VALUE"""),"Database Design")</f>
        <v>Database Design</v>
      </c>
      <c r="H341" s="13">
        <f>IFERROR(__xludf.DUMMYFUNCTION("""COMPUTED_VALUE"""),40.0)</f>
        <v>40</v>
      </c>
      <c r="I341" s="11" t="str">
        <f>IFERROR(__xludf.DUMMYFUNCTION("""COMPUTED_VALUE"""),"[NNAF] Nuzhat Nairy Afrin")</f>
        <v>[NNAF] Nuzhat Nairy Afrin</v>
      </c>
      <c r="J341" s="13">
        <f t="shared" si="1"/>
        <v>1</v>
      </c>
    </row>
    <row r="342">
      <c r="A342" s="11" t="str">
        <f>IFERROR(__xludf.DUMMYFUNCTION("""COMPUTED_VALUE"""),"C")</f>
        <v>C</v>
      </c>
      <c r="B342" s="11" t="str">
        <f>IFERROR(__xludf.DUMMYFUNCTION("""COMPUTED_VALUE"""),"Slot - 01")</f>
        <v>Slot - 01</v>
      </c>
      <c r="C342" s="11" t="str">
        <f>IFERROR(__xludf.DUMMYFUNCTION("""COMPUTED_VALUE"""),"12.04.2026")</f>
        <v>12.04.2026</v>
      </c>
      <c r="D342" s="12">
        <f>IFERROR(__xludf.DUMMYFUNCTION("""COMPUTED_VALUE"""),0.3541666666678793)</f>
        <v>0.3541666667</v>
      </c>
      <c r="E342" s="12">
        <f>IFERROR(__xludf.DUMMYFUNCTION("""COMPUTED_VALUE"""),0.4166666666678793)</f>
        <v>0.4166666667</v>
      </c>
      <c r="F342" s="11" t="str">
        <f>IFERROR(__xludf.DUMMYFUNCTION("""COMPUTED_VALUE"""),"CSE383.6")</f>
        <v>CSE383.6</v>
      </c>
      <c r="G342" s="11" t="str">
        <f>IFERROR(__xludf.DUMMYFUNCTION("""COMPUTED_VALUE"""),"Database Design")</f>
        <v>Database Design</v>
      </c>
      <c r="H342" s="13">
        <f>IFERROR(__xludf.DUMMYFUNCTION("""COMPUTED_VALUE"""),40.0)</f>
        <v>40</v>
      </c>
      <c r="I342" s="11" t="str">
        <f>IFERROR(__xludf.DUMMYFUNCTION("""COMPUTED_VALUE"""),"[NOHO] Noholi Islam Duti")</f>
        <v>[NOHO] Noholi Islam Duti</v>
      </c>
      <c r="J342" s="13">
        <f t="shared" si="1"/>
        <v>-1</v>
      </c>
    </row>
    <row r="343">
      <c r="A343" s="11" t="str">
        <f>IFERROR(__xludf.DUMMYFUNCTION("""COMPUTED_VALUE"""),"C")</f>
        <v>C</v>
      </c>
      <c r="B343" s="11" t="str">
        <f>IFERROR(__xludf.DUMMYFUNCTION("""COMPUTED_VALUE"""),"Slot - 01")</f>
        <v>Slot - 01</v>
      </c>
      <c r="C343" s="11" t="str">
        <f>IFERROR(__xludf.DUMMYFUNCTION("""COMPUTED_VALUE"""),"12.04.2026")</f>
        <v>12.04.2026</v>
      </c>
      <c r="D343" s="12">
        <f>IFERROR(__xludf.DUMMYFUNCTION("""COMPUTED_VALUE"""),0.3541666666678793)</f>
        <v>0.3541666667</v>
      </c>
      <c r="E343" s="12">
        <f>IFERROR(__xludf.DUMMYFUNCTION("""COMPUTED_VALUE"""),0.4166666666678793)</f>
        <v>0.4166666667</v>
      </c>
      <c r="F343" s="11" t="str">
        <f>IFERROR(__xludf.DUMMYFUNCTION("""COMPUTED_VALUE"""),"CSE383.7")</f>
        <v>CSE383.7</v>
      </c>
      <c r="G343" s="11" t="str">
        <f>IFERROR(__xludf.DUMMYFUNCTION("""COMPUTED_VALUE"""),"Database Design")</f>
        <v>Database Design</v>
      </c>
      <c r="H343" s="13">
        <f>IFERROR(__xludf.DUMMYFUNCTION("""COMPUTED_VALUE"""),39.0)</f>
        <v>39</v>
      </c>
      <c r="I343" s="11" t="str">
        <f>IFERROR(__xludf.DUMMYFUNCTION("""COMPUTED_VALUE"""),"[NOHO] Noholi Islam Duti")</f>
        <v>[NOHO] Noholi Islam Duti</v>
      </c>
      <c r="J343" s="13">
        <f t="shared" si="1"/>
        <v>-1</v>
      </c>
    </row>
    <row r="344">
      <c r="A344" s="11" t="str">
        <f>IFERROR(__xludf.DUMMYFUNCTION("""COMPUTED_VALUE"""),"C")</f>
        <v>C</v>
      </c>
      <c r="B344" s="11" t="str">
        <f>IFERROR(__xludf.DUMMYFUNCTION("""COMPUTED_VALUE"""),"Slot - 01")</f>
        <v>Slot - 01</v>
      </c>
      <c r="C344" s="11" t="str">
        <f>IFERROR(__xludf.DUMMYFUNCTION("""COMPUTED_VALUE"""),"12.04.2026")</f>
        <v>12.04.2026</v>
      </c>
      <c r="D344" s="12">
        <f>IFERROR(__xludf.DUMMYFUNCTION("""COMPUTED_VALUE"""),0.3541666666678793)</f>
        <v>0.3541666667</v>
      </c>
      <c r="E344" s="12">
        <f>IFERROR(__xludf.DUMMYFUNCTION("""COMPUTED_VALUE"""),0.4166666666678793)</f>
        <v>0.4166666667</v>
      </c>
      <c r="F344" s="11" t="str">
        <f>IFERROR(__xludf.DUMMYFUNCTION("""COMPUTED_VALUE"""),"CSE383.8")</f>
        <v>CSE383.8</v>
      </c>
      <c r="G344" s="11" t="str">
        <f>IFERROR(__xludf.DUMMYFUNCTION("""COMPUTED_VALUE"""),"Database Design")</f>
        <v>Database Design</v>
      </c>
      <c r="H344" s="13">
        <f>IFERROR(__xludf.DUMMYFUNCTION("""COMPUTED_VALUE"""),40.0)</f>
        <v>40</v>
      </c>
      <c r="I344" s="11" t="str">
        <f>IFERROR(__xludf.DUMMYFUNCTION("""COMPUTED_VALUE"""),"[NOHO] Noholi Islam Duti")</f>
        <v>[NOHO] Noholi Islam Duti</v>
      </c>
      <c r="J344" s="13">
        <f t="shared" si="1"/>
        <v>-1</v>
      </c>
    </row>
    <row r="345">
      <c r="A345" s="11" t="str">
        <f>IFERROR(__xludf.DUMMYFUNCTION("""COMPUTED_VALUE"""),"C")</f>
        <v>C</v>
      </c>
      <c r="B345" s="11" t="str">
        <f>IFERROR(__xludf.DUMMYFUNCTION("""COMPUTED_VALUE"""),"Slot - 10")</f>
        <v>Slot - 10</v>
      </c>
      <c r="C345" s="11" t="str">
        <f>IFERROR(__xludf.DUMMYFUNCTION("""COMPUTED_VALUE"""),"16.04.2026")</f>
        <v>16.04.2026</v>
      </c>
      <c r="D345" s="12">
        <f>IFERROR(__xludf.DUMMYFUNCTION("""COMPUTED_VALUE"""),0.3541666666678793)</f>
        <v>0.3541666667</v>
      </c>
      <c r="E345" s="12">
        <f>IFERROR(__xludf.DUMMYFUNCTION("""COMPUTED_VALUE"""),0.4166666666678793)</f>
        <v>0.4166666667</v>
      </c>
      <c r="F345" s="11" t="str">
        <f>IFERROR(__xludf.DUMMYFUNCTION("""COMPUTED_VALUE"""),"CSE383.3")</f>
        <v>CSE383.3</v>
      </c>
      <c r="G345" s="11" t="str">
        <f>IFERROR(__xludf.DUMMYFUNCTION("""COMPUTED_VALUE"""),"Database Design")</f>
        <v>Database Design</v>
      </c>
      <c r="H345" s="13">
        <f>IFERROR(__xludf.DUMMYFUNCTION("""COMPUTED_VALUE"""),38.0)</f>
        <v>38</v>
      </c>
      <c r="I345" s="11" t="str">
        <f>IFERROR(__xludf.DUMMYFUNCTION("""COMPUTED_VALUE"""),"[NON] Noman Amin")</f>
        <v>[NON] Noman Amin</v>
      </c>
      <c r="J345" s="13">
        <f t="shared" si="1"/>
        <v>1</v>
      </c>
    </row>
    <row r="346">
      <c r="A346" s="11" t="str">
        <f>IFERROR(__xludf.DUMMYFUNCTION("""COMPUTED_VALUE"""),"C")</f>
        <v>C</v>
      </c>
      <c r="B346" s="11" t="str">
        <f>IFERROR(__xludf.DUMMYFUNCTION("""COMPUTED_VALUE"""),"Slot - 13")</f>
        <v>Slot - 13</v>
      </c>
      <c r="C346" s="11" t="str">
        <f>IFERROR(__xludf.DUMMYFUNCTION("""COMPUTED_VALUE"""),"18.04.2026")</f>
        <v>18.04.2026</v>
      </c>
      <c r="D346" s="12">
        <f>IFERROR(__xludf.DUMMYFUNCTION("""COMPUTED_VALUE"""),0.3541666666678793)</f>
        <v>0.3541666667</v>
      </c>
      <c r="E346" s="12">
        <f>IFERROR(__xludf.DUMMYFUNCTION("""COMPUTED_VALUE"""),0.4166666666678793)</f>
        <v>0.4166666667</v>
      </c>
      <c r="F346" s="11" t="str">
        <f>IFERROR(__xludf.DUMMYFUNCTION("""COMPUTED_VALUE"""),"CSE361.1")</f>
        <v>CSE361.1</v>
      </c>
      <c r="G346" s="11" t="str">
        <f>IFERROR(__xludf.DUMMYFUNCTION("""COMPUTED_VALUE"""),"Operating Systems")</f>
        <v>Operating Systems</v>
      </c>
      <c r="H346" s="13">
        <f>IFERROR(__xludf.DUMMYFUNCTION("""COMPUTED_VALUE"""),41.0)</f>
        <v>41</v>
      </c>
      <c r="I346" s="11" t="str">
        <f>IFERROR(__xludf.DUMMYFUNCTION("""COMPUTED_VALUE"""),"[NON] Noman Amin")</f>
        <v>[NON] Noman Amin</v>
      </c>
      <c r="J346" s="13">
        <f t="shared" si="1"/>
        <v>1</v>
      </c>
    </row>
    <row r="347">
      <c r="A347" s="11" t="str">
        <f>IFERROR(__xludf.DUMMYFUNCTION("""COMPUTED_VALUE"""),"C")</f>
        <v>C</v>
      </c>
      <c r="B347" s="11" t="str">
        <f>IFERROR(__xludf.DUMMYFUNCTION("""COMPUTED_VALUE"""),"Slot - 13")</f>
        <v>Slot - 13</v>
      </c>
      <c r="C347" s="11" t="str">
        <f>IFERROR(__xludf.DUMMYFUNCTION("""COMPUTED_VALUE"""),"18.04.2026")</f>
        <v>18.04.2026</v>
      </c>
      <c r="D347" s="12">
        <f>IFERROR(__xludf.DUMMYFUNCTION("""COMPUTED_VALUE"""),0.3541666666678793)</f>
        <v>0.3541666667</v>
      </c>
      <c r="E347" s="12">
        <f>IFERROR(__xludf.DUMMYFUNCTION("""COMPUTED_VALUE"""),0.4166666666678793)</f>
        <v>0.4166666667</v>
      </c>
      <c r="F347" s="11" t="str">
        <f>IFERROR(__xludf.DUMMYFUNCTION("""COMPUTED_VALUE"""),"CSE361.2")</f>
        <v>CSE361.2</v>
      </c>
      <c r="G347" s="11" t="str">
        <f>IFERROR(__xludf.DUMMYFUNCTION("""COMPUTED_VALUE"""),"Operating Systems")</f>
        <v>Operating Systems</v>
      </c>
      <c r="H347" s="13">
        <f>IFERROR(__xludf.DUMMYFUNCTION("""COMPUTED_VALUE"""),40.0)</f>
        <v>40</v>
      </c>
      <c r="I347" s="11" t="str">
        <f>IFERROR(__xludf.DUMMYFUNCTION("""COMPUTED_VALUE"""),"[NON] Noman Amin")</f>
        <v>[NON] Noman Amin</v>
      </c>
      <c r="J347" s="13">
        <f t="shared" si="1"/>
        <v>1</v>
      </c>
    </row>
    <row r="348">
      <c r="A348" s="11" t="str">
        <f>IFERROR(__xludf.DUMMYFUNCTION("""COMPUTED_VALUE"""),"C")</f>
        <v>C</v>
      </c>
      <c r="B348" s="11" t="str">
        <f>IFERROR(__xludf.DUMMYFUNCTION("""COMPUTED_VALUE"""),"Slot - 10")</f>
        <v>Slot - 10</v>
      </c>
      <c r="C348" s="11" t="str">
        <f>IFERROR(__xludf.DUMMYFUNCTION("""COMPUTED_VALUE"""),"16.04.2026")</f>
        <v>16.04.2026</v>
      </c>
      <c r="D348" s="12">
        <f>IFERROR(__xludf.DUMMYFUNCTION("""COMPUTED_VALUE"""),0.3541666666678793)</f>
        <v>0.3541666667</v>
      </c>
      <c r="E348" s="12">
        <f>IFERROR(__xludf.DUMMYFUNCTION("""COMPUTED_VALUE"""),0.4166666666678793)</f>
        <v>0.4166666667</v>
      </c>
      <c r="F348" s="11" t="str">
        <f>IFERROR(__xludf.DUMMYFUNCTION("""COMPUTED_VALUE"""),"CSE281.7")</f>
        <v>CSE281.7</v>
      </c>
      <c r="G348" s="11" t="str">
        <f>IFERROR(__xludf.DUMMYFUNCTION("""COMPUTED_VALUE"""),"Introduction to Programming Language II (Java)")</f>
        <v>Introduction to Programming Language II (Java)</v>
      </c>
      <c r="H348" s="13">
        <f>IFERROR(__xludf.DUMMYFUNCTION("""COMPUTED_VALUE"""),31.0)</f>
        <v>31</v>
      </c>
      <c r="I348" s="11" t="str">
        <f>IFERROR(__xludf.DUMMYFUNCTION("""COMPUTED_VALUE"""),"[NOOR] Asaduzzaman Noor")</f>
        <v>[NOOR] Asaduzzaman Noor</v>
      </c>
      <c r="J348" s="13">
        <f t="shared" si="1"/>
        <v>-1</v>
      </c>
    </row>
    <row r="349">
      <c r="A349" s="11" t="str">
        <f>IFERROR(__xludf.DUMMYFUNCTION("""COMPUTED_VALUE"""),"C")</f>
        <v>C</v>
      </c>
      <c r="B349" s="11" t="str">
        <f>IFERROR(__xludf.DUMMYFUNCTION("""COMPUTED_VALUE"""),"Slot - 22")</f>
        <v>Slot - 22</v>
      </c>
      <c r="C349" s="11" t="str">
        <f>IFERROR(__xludf.DUMMYFUNCTION("""COMPUTED_VALUE"""),"21.04.2026")</f>
        <v>21.04.2026</v>
      </c>
      <c r="D349" s="12">
        <f>IFERROR(__xludf.DUMMYFUNCTION("""COMPUTED_VALUE"""),0.3541666666678793)</f>
        <v>0.3541666667</v>
      </c>
      <c r="E349" s="12">
        <f>IFERROR(__xludf.DUMMYFUNCTION("""COMPUTED_VALUE"""),0.4166666666678793)</f>
        <v>0.4166666667</v>
      </c>
      <c r="F349" s="11" t="str">
        <f>IFERROR(__xludf.DUMMYFUNCTION("""COMPUTED_VALUE"""),"CSE345.7")</f>
        <v>CSE345.7</v>
      </c>
      <c r="G349" s="11" t="str">
        <f>IFERROR(__xludf.DUMMYFUNCTION("""COMPUTED_VALUE"""),"Information System Design &amp; Software Engineering")</f>
        <v>Information System Design &amp; Software Engineering</v>
      </c>
      <c r="H349" s="13">
        <f>IFERROR(__xludf.DUMMYFUNCTION("""COMPUTED_VALUE"""),32.0)</f>
        <v>32</v>
      </c>
      <c r="I349" s="11" t="str">
        <f>IFERROR(__xludf.DUMMYFUNCTION("""COMPUTED_VALUE"""),"[NOOR] Asaduzzaman Noor")</f>
        <v>[NOOR] Asaduzzaman Noor</v>
      </c>
      <c r="J349" s="13">
        <f t="shared" si="1"/>
        <v>-1</v>
      </c>
    </row>
    <row r="350">
      <c r="A350" s="11" t="str">
        <f>IFERROR(__xludf.DUMMYFUNCTION("""COMPUTED_VALUE"""),"C")</f>
        <v>C</v>
      </c>
      <c r="B350" s="11" t="str">
        <f>IFERROR(__xludf.DUMMYFUNCTION("""COMPUTED_VALUE"""),"Slot - 04")</f>
        <v>Slot - 04</v>
      </c>
      <c r="C350" s="11" t="str">
        <f>IFERROR(__xludf.DUMMYFUNCTION("""COMPUTED_VALUE"""),"13.04.2026")</f>
        <v>13.04.2026</v>
      </c>
      <c r="D350" s="12">
        <f>IFERROR(__xludf.DUMMYFUNCTION("""COMPUTED_VALUE"""),0.3541666666678793)</f>
        <v>0.3541666667</v>
      </c>
      <c r="E350" s="12">
        <f>IFERROR(__xludf.DUMMYFUNCTION("""COMPUTED_VALUE"""),0.4166666666678793)</f>
        <v>0.4166666667</v>
      </c>
      <c r="F350" s="11" t="str">
        <f>IFERROR(__xludf.DUMMYFUNCTION("""COMPUTED_VALUE"""),"CSE359.4")</f>
        <v>CSE359.4</v>
      </c>
      <c r="G350" s="11" t="str">
        <f>IFERROR(__xludf.DUMMYFUNCTION("""COMPUTED_VALUE"""),"Graph Theory")</f>
        <v>Graph Theory</v>
      </c>
      <c r="H350" s="13">
        <f>IFERROR(__xludf.DUMMYFUNCTION("""COMPUTED_VALUE"""),41.0)</f>
        <v>41</v>
      </c>
      <c r="I350" s="11" t="str">
        <f>IFERROR(__xludf.DUMMYFUNCTION("""COMPUTED_VALUE"""),"[PK] Proloy Karmakar")</f>
        <v>[PK] Proloy Karmakar</v>
      </c>
      <c r="J350" s="13">
        <f t="shared" si="1"/>
        <v>1</v>
      </c>
    </row>
    <row r="351">
      <c r="A351" s="11" t="str">
        <f>IFERROR(__xludf.DUMMYFUNCTION("""COMPUTED_VALUE"""),"C")</f>
        <v>C</v>
      </c>
      <c r="B351" s="11" t="str">
        <f>IFERROR(__xludf.DUMMYFUNCTION("""COMPUTED_VALUE"""),"Slot - 04")</f>
        <v>Slot - 04</v>
      </c>
      <c r="C351" s="11" t="str">
        <f>IFERROR(__xludf.DUMMYFUNCTION("""COMPUTED_VALUE"""),"13.04.2026")</f>
        <v>13.04.2026</v>
      </c>
      <c r="D351" s="12">
        <f>IFERROR(__xludf.DUMMYFUNCTION("""COMPUTED_VALUE"""),0.3541666666678793)</f>
        <v>0.3541666667</v>
      </c>
      <c r="E351" s="12">
        <f>IFERROR(__xludf.DUMMYFUNCTION("""COMPUTED_VALUE"""),0.4166666666678793)</f>
        <v>0.4166666667</v>
      </c>
      <c r="F351" s="11" t="str">
        <f>IFERROR(__xludf.DUMMYFUNCTION("""COMPUTED_VALUE"""),"CSE359.5")</f>
        <v>CSE359.5</v>
      </c>
      <c r="G351" s="11" t="str">
        <f>IFERROR(__xludf.DUMMYFUNCTION("""COMPUTED_VALUE"""),"Graph Theory")</f>
        <v>Graph Theory</v>
      </c>
      <c r="H351" s="13">
        <f>IFERROR(__xludf.DUMMYFUNCTION("""COMPUTED_VALUE"""),41.0)</f>
        <v>41</v>
      </c>
      <c r="I351" s="11" t="str">
        <f>IFERROR(__xludf.DUMMYFUNCTION("""COMPUTED_VALUE"""),"[PK] Proloy Karmakar")</f>
        <v>[PK] Proloy Karmakar</v>
      </c>
      <c r="J351" s="13">
        <f t="shared" si="1"/>
        <v>1</v>
      </c>
    </row>
    <row r="352">
      <c r="A352" s="11" t="str">
        <f>IFERROR(__xludf.DUMMYFUNCTION("""COMPUTED_VALUE"""),"C")</f>
        <v>C</v>
      </c>
      <c r="B352" s="11" t="str">
        <f>IFERROR(__xludf.DUMMYFUNCTION("""COMPUTED_VALUE"""),"Slot - 04")</f>
        <v>Slot - 04</v>
      </c>
      <c r="C352" s="11" t="str">
        <f>IFERROR(__xludf.DUMMYFUNCTION("""COMPUTED_VALUE"""),"13.04.2026")</f>
        <v>13.04.2026</v>
      </c>
      <c r="D352" s="12">
        <f>IFERROR(__xludf.DUMMYFUNCTION("""COMPUTED_VALUE"""),0.3541666666678793)</f>
        <v>0.3541666667</v>
      </c>
      <c r="E352" s="12">
        <f>IFERROR(__xludf.DUMMYFUNCTION("""COMPUTED_VALUE"""),0.4166666666678793)</f>
        <v>0.4166666667</v>
      </c>
      <c r="F352" s="11" t="str">
        <f>IFERROR(__xludf.DUMMYFUNCTION("""COMPUTED_VALUE"""),"CSE359.6")</f>
        <v>CSE359.6</v>
      </c>
      <c r="G352" s="11" t="str">
        <f>IFERROR(__xludf.DUMMYFUNCTION("""COMPUTED_VALUE"""),"Graph Theory")</f>
        <v>Graph Theory</v>
      </c>
      <c r="H352" s="13">
        <f>IFERROR(__xludf.DUMMYFUNCTION("""COMPUTED_VALUE"""),41.0)</f>
        <v>41</v>
      </c>
      <c r="I352" s="11" t="str">
        <f>IFERROR(__xludf.DUMMYFUNCTION("""COMPUTED_VALUE"""),"[PK] Proloy Karmakar")</f>
        <v>[PK] Proloy Karmakar</v>
      </c>
      <c r="J352" s="13">
        <f t="shared" si="1"/>
        <v>1</v>
      </c>
    </row>
    <row r="353">
      <c r="A353" s="11" t="str">
        <f>IFERROR(__xludf.DUMMYFUNCTION("""COMPUTED_VALUE"""),"C")</f>
        <v>C</v>
      </c>
      <c r="B353" s="11" t="str">
        <f>IFERROR(__xludf.DUMMYFUNCTION("""COMPUTED_VALUE"""),"Slot - 04")</f>
        <v>Slot - 04</v>
      </c>
      <c r="C353" s="11" t="str">
        <f>IFERROR(__xludf.DUMMYFUNCTION("""COMPUTED_VALUE"""),"13.04.2026")</f>
        <v>13.04.2026</v>
      </c>
      <c r="D353" s="12">
        <f>IFERROR(__xludf.DUMMYFUNCTION("""COMPUTED_VALUE"""),0.3541666666678793)</f>
        <v>0.3541666667</v>
      </c>
      <c r="E353" s="12">
        <f>IFERROR(__xludf.DUMMYFUNCTION("""COMPUTED_VALUE"""),0.4166666666678793)</f>
        <v>0.4166666667</v>
      </c>
      <c r="F353" s="11" t="str">
        <f>IFERROR(__xludf.DUMMYFUNCTION("""COMPUTED_VALUE"""),"ECO461.1")</f>
        <v>ECO461.1</v>
      </c>
      <c r="G353" s="11" t="str">
        <f>IFERROR(__xludf.DUMMYFUNCTION("""COMPUTED_VALUE"""),"Introduction to Economics")</f>
        <v>Introduction to Economics</v>
      </c>
      <c r="H353" s="13">
        <f>IFERROR(__xludf.DUMMYFUNCTION("""COMPUTED_VALUE"""),41.0)</f>
        <v>41</v>
      </c>
      <c r="I353" s="11" t="str">
        <f>IFERROR(__xludf.DUMMYFUNCTION("""COMPUTED_VALUE"""),"[PRB] Prianka Basak")</f>
        <v>[PRB] Prianka Basak</v>
      </c>
      <c r="J353" s="13">
        <f t="shared" si="1"/>
        <v>-1</v>
      </c>
    </row>
    <row r="354">
      <c r="A354" s="11" t="str">
        <f>IFERROR(__xludf.DUMMYFUNCTION("""COMPUTED_VALUE"""),"C")</f>
        <v>C</v>
      </c>
      <c r="B354" s="11" t="str">
        <f>IFERROR(__xludf.DUMMYFUNCTION("""COMPUTED_VALUE"""),"Slot - 04")</f>
        <v>Slot - 04</v>
      </c>
      <c r="C354" s="11" t="str">
        <f>IFERROR(__xludf.DUMMYFUNCTION("""COMPUTED_VALUE"""),"13.04.2026")</f>
        <v>13.04.2026</v>
      </c>
      <c r="D354" s="12">
        <f>IFERROR(__xludf.DUMMYFUNCTION("""COMPUTED_VALUE"""),0.3541666666678793)</f>
        <v>0.3541666667</v>
      </c>
      <c r="E354" s="12">
        <f>IFERROR(__xludf.DUMMYFUNCTION("""COMPUTED_VALUE"""),0.4166666666678793)</f>
        <v>0.4166666667</v>
      </c>
      <c r="F354" s="11" t="str">
        <f>IFERROR(__xludf.DUMMYFUNCTION("""COMPUTED_VALUE"""),"ECO461.2")</f>
        <v>ECO461.2</v>
      </c>
      <c r="G354" s="11" t="str">
        <f>IFERROR(__xludf.DUMMYFUNCTION("""COMPUTED_VALUE"""),"Introduction to Economics")</f>
        <v>Introduction to Economics</v>
      </c>
      <c r="H354" s="13">
        <f>IFERROR(__xludf.DUMMYFUNCTION("""COMPUTED_VALUE"""),42.0)</f>
        <v>42</v>
      </c>
      <c r="I354" s="11" t="str">
        <f>IFERROR(__xludf.DUMMYFUNCTION("""COMPUTED_VALUE"""),"[PRB] Prianka Basak")</f>
        <v>[PRB] Prianka Basak</v>
      </c>
      <c r="J354" s="13">
        <f t="shared" si="1"/>
        <v>-1</v>
      </c>
    </row>
    <row r="355">
      <c r="A355" s="11" t="str">
        <f>IFERROR(__xludf.DUMMYFUNCTION("""COMPUTED_VALUE"""),"C")</f>
        <v>C</v>
      </c>
      <c r="B355" s="11" t="str">
        <f>IFERROR(__xludf.DUMMYFUNCTION("""COMPUTED_VALUE"""),"Slot - 13")</f>
        <v>Slot - 13</v>
      </c>
      <c r="C355" s="11" t="str">
        <f>IFERROR(__xludf.DUMMYFUNCTION("""COMPUTED_VALUE"""),"18.04.2026")</f>
        <v>18.04.2026</v>
      </c>
      <c r="D355" s="12">
        <f>IFERROR(__xludf.DUMMYFUNCTION("""COMPUTED_VALUE"""),0.3541666666678793)</f>
        <v>0.3541666667</v>
      </c>
      <c r="E355" s="12">
        <f>IFERROR(__xludf.DUMMYFUNCTION("""COMPUTED_VALUE"""),0.4166666666678793)</f>
        <v>0.4166666667</v>
      </c>
      <c r="F355" s="11" t="str">
        <f>IFERROR(__xludf.DUMMYFUNCTION("""COMPUTED_VALUE"""),"CSE363.1")</f>
        <v>CSE363.1</v>
      </c>
      <c r="G355" s="11" t="str">
        <f>IFERROR(__xludf.DUMMYFUNCTION("""COMPUTED_VALUE"""),"Microprocessor Design &amp; Assembly Language Programming")</f>
        <v>Microprocessor Design &amp; Assembly Language Programming</v>
      </c>
      <c r="H355" s="13">
        <f>IFERROR(__xludf.DUMMYFUNCTION("""COMPUTED_VALUE"""),39.0)</f>
        <v>39</v>
      </c>
      <c r="I355" s="11" t="str">
        <f>IFERROR(__xludf.DUMMYFUNCTION("""COMPUTED_VALUE"""),"[RADT] Radiathun Tasnia")</f>
        <v>[RADT] Radiathun Tasnia</v>
      </c>
      <c r="J355" s="13">
        <f t="shared" si="1"/>
        <v>1</v>
      </c>
    </row>
    <row r="356">
      <c r="A356" s="11" t="str">
        <f>IFERROR(__xludf.DUMMYFUNCTION("""COMPUTED_VALUE"""),"C")</f>
        <v>C</v>
      </c>
      <c r="B356" s="11" t="str">
        <f>IFERROR(__xludf.DUMMYFUNCTION("""COMPUTED_VALUE"""),"Slot - 13")</f>
        <v>Slot - 13</v>
      </c>
      <c r="C356" s="11" t="str">
        <f>IFERROR(__xludf.DUMMYFUNCTION("""COMPUTED_VALUE"""),"18.04.2026")</f>
        <v>18.04.2026</v>
      </c>
      <c r="D356" s="12">
        <f>IFERROR(__xludf.DUMMYFUNCTION("""COMPUTED_VALUE"""),0.3541666666678793)</f>
        <v>0.3541666667</v>
      </c>
      <c r="E356" s="12">
        <f>IFERROR(__xludf.DUMMYFUNCTION("""COMPUTED_VALUE"""),0.4166666666678793)</f>
        <v>0.4166666667</v>
      </c>
      <c r="F356" s="11" t="str">
        <f>IFERROR(__xludf.DUMMYFUNCTION("""COMPUTED_VALUE"""),"CSE363.2")</f>
        <v>CSE363.2</v>
      </c>
      <c r="G356" s="11" t="str">
        <f>IFERROR(__xludf.DUMMYFUNCTION("""COMPUTED_VALUE"""),"Microprocessor Design &amp; Assembly Language Programming")</f>
        <v>Microprocessor Design &amp; Assembly Language Programming</v>
      </c>
      <c r="H356" s="13">
        <f>IFERROR(__xludf.DUMMYFUNCTION("""COMPUTED_VALUE"""),39.0)</f>
        <v>39</v>
      </c>
      <c r="I356" s="11" t="str">
        <f>IFERROR(__xludf.DUMMYFUNCTION("""COMPUTED_VALUE"""),"[RADT] Radiathun Tasnia")</f>
        <v>[RADT] Radiathun Tasnia</v>
      </c>
      <c r="J356" s="13">
        <f t="shared" si="1"/>
        <v>1</v>
      </c>
    </row>
    <row r="357">
      <c r="A357" s="11" t="str">
        <f>IFERROR(__xludf.DUMMYFUNCTION("""COMPUTED_VALUE"""),"C")</f>
        <v>C</v>
      </c>
      <c r="B357" s="11" t="str">
        <f>IFERROR(__xludf.DUMMYFUNCTION("""COMPUTED_VALUE"""),"Slot - 13")</f>
        <v>Slot - 13</v>
      </c>
      <c r="C357" s="11" t="str">
        <f>IFERROR(__xludf.DUMMYFUNCTION("""COMPUTED_VALUE"""),"18.04.2026")</f>
        <v>18.04.2026</v>
      </c>
      <c r="D357" s="12">
        <f>IFERROR(__xludf.DUMMYFUNCTION("""COMPUTED_VALUE"""),0.3541666666678793)</f>
        <v>0.3541666667</v>
      </c>
      <c r="E357" s="12">
        <f>IFERROR(__xludf.DUMMYFUNCTION("""COMPUTED_VALUE"""),0.4166666666678793)</f>
        <v>0.4166666667</v>
      </c>
      <c r="F357" s="11" t="str">
        <f>IFERROR(__xludf.DUMMYFUNCTION("""COMPUTED_VALUE"""),"CSE363.3")</f>
        <v>CSE363.3</v>
      </c>
      <c r="G357" s="11" t="str">
        <f>IFERROR(__xludf.DUMMYFUNCTION("""COMPUTED_VALUE"""),"Microprocessor Design &amp; Assembly Language Programming")</f>
        <v>Microprocessor Design &amp; Assembly Language Programming</v>
      </c>
      <c r="H357" s="13">
        <f>IFERROR(__xludf.DUMMYFUNCTION("""COMPUTED_VALUE"""),40.0)</f>
        <v>40</v>
      </c>
      <c r="I357" s="11" t="str">
        <f>IFERROR(__xludf.DUMMYFUNCTION("""COMPUTED_VALUE"""),"[RADT] Radiathun Tasnia")</f>
        <v>[RADT] Radiathun Tasnia</v>
      </c>
      <c r="J357" s="13">
        <f t="shared" si="1"/>
        <v>1</v>
      </c>
    </row>
    <row r="358">
      <c r="A358" s="11" t="str">
        <f>IFERROR(__xludf.DUMMYFUNCTION("""COMPUTED_VALUE"""),"D")</f>
        <v>D</v>
      </c>
      <c r="B358" s="11" t="str">
        <f>IFERROR(__xludf.DUMMYFUNCTION("""COMPUTED_VALUE"""),"Slot - E")</f>
        <v>Slot - E</v>
      </c>
      <c r="C358" s="11" t="str">
        <f>IFERROR(__xludf.DUMMYFUNCTION("""COMPUTED_VALUE"""),"18.04.2026")</f>
        <v>18.04.2026</v>
      </c>
      <c r="D358" s="12">
        <f>IFERROR(__xludf.DUMMYFUNCTION("""COMPUTED_VALUE"""),0.6666666666678793)</f>
        <v>0.6666666667</v>
      </c>
      <c r="E358" s="12">
        <f>IFERROR(__xludf.DUMMYFUNCTION("""COMPUTED_VALUE"""),0.7291666666678793)</f>
        <v>0.7291666667</v>
      </c>
      <c r="F358" s="11" t="str">
        <f>IFERROR(__xludf.DUMMYFUNCTION("""COMPUTED_VALUE"""),"CSE383.14")</f>
        <v>CSE383.14</v>
      </c>
      <c r="G358" s="11" t="str">
        <f>IFERROR(__xludf.DUMMYFUNCTION("""COMPUTED_VALUE"""),"Database Design")</f>
        <v>Database Design</v>
      </c>
      <c r="H358" s="13">
        <f>IFERROR(__xludf.DUMMYFUNCTION("""COMPUTED_VALUE"""),37.0)</f>
        <v>37</v>
      </c>
      <c r="I358" s="11" t="str">
        <f>IFERROR(__xludf.DUMMYFUNCTION("""COMPUTED_VALUE"""),"[RAJA] Md. Rafsan Jani")</f>
        <v>[RAJA] Md. Rafsan Jani</v>
      </c>
      <c r="J358" s="13">
        <f t="shared" si="1"/>
        <v>-1</v>
      </c>
    </row>
    <row r="359">
      <c r="A359" s="11" t="str">
        <f>IFERROR(__xludf.DUMMYFUNCTION("""COMPUTED_VALUE"""),"D")</f>
        <v>D</v>
      </c>
      <c r="B359" s="11" t="str">
        <f>IFERROR(__xludf.DUMMYFUNCTION("""COMPUTED_VALUE"""),"Slot - F")</f>
        <v>Slot - F</v>
      </c>
      <c r="C359" s="11" t="str">
        <f>IFERROR(__xludf.DUMMYFUNCTION("""COMPUTED_VALUE"""),"18.04.2026")</f>
        <v>18.04.2026</v>
      </c>
      <c r="D359" s="12">
        <f>IFERROR(__xludf.DUMMYFUNCTION("""COMPUTED_VALUE"""),0.7916666666678793)</f>
        <v>0.7916666667</v>
      </c>
      <c r="E359" s="12">
        <f>IFERROR(__xludf.DUMMYFUNCTION("""COMPUTED_VALUE"""),0.8541666666678793)</f>
        <v>0.8541666667</v>
      </c>
      <c r="F359" s="11" t="str">
        <f>IFERROR(__xludf.DUMMYFUNCTION("""COMPUTED_VALUE"""),"CSE383.13")</f>
        <v>CSE383.13</v>
      </c>
      <c r="G359" s="11" t="str">
        <f>IFERROR(__xludf.DUMMYFUNCTION("""COMPUTED_VALUE"""),"Database Design")</f>
        <v>Database Design</v>
      </c>
      <c r="H359" s="13">
        <f>IFERROR(__xludf.DUMMYFUNCTION("""COMPUTED_VALUE"""),37.0)</f>
        <v>37</v>
      </c>
      <c r="I359" s="11" t="str">
        <f>IFERROR(__xludf.DUMMYFUNCTION("""COMPUTED_VALUE"""),"[RAJA] Md. Rafsan Jani")</f>
        <v>[RAJA] Md. Rafsan Jani</v>
      </c>
      <c r="J359" s="13">
        <f t="shared" si="1"/>
        <v>-1</v>
      </c>
    </row>
    <row r="360">
      <c r="A360" s="11" t="str">
        <f>IFERROR(__xludf.DUMMYFUNCTION("""COMPUTED_VALUE"""),"C")</f>
        <v>C</v>
      </c>
      <c r="B360" s="11" t="str">
        <f>IFERROR(__xludf.DUMMYFUNCTION("""COMPUTED_VALUE"""),"Slot - 08")</f>
        <v>Slot - 08</v>
      </c>
      <c r="C360" s="11" t="str">
        <f>IFERROR(__xludf.DUMMYFUNCTION("""COMPUTED_VALUE"""),"15.04.2026")</f>
        <v>15.04.2026</v>
      </c>
      <c r="D360" s="12">
        <f>IFERROR(__xludf.DUMMYFUNCTION("""COMPUTED_VALUE"""),0.4791666666678793)</f>
        <v>0.4791666667</v>
      </c>
      <c r="E360" s="12">
        <f>IFERROR(__xludf.DUMMYFUNCTION("""COMPUTED_VALUE"""),0.5416666666678793)</f>
        <v>0.5416666667</v>
      </c>
      <c r="F360" s="11" t="str">
        <f>IFERROR(__xludf.DUMMYFUNCTION("""COMPUTED_VALUE"""),"GED1111.6")</f>
        <v>GED1111.6</v>
      </c>
      <c r="G360" s="11" t="str">
        <f>IFERROR(__xludf.DUMMYFUNCTION("""COMPUTED_VALUE"""),"Principles of Accounting")</f>
        <v>Principles of Accounting</v>
      </c>
      <c r="H360" s="13">
        <f>IFERROR(__xludf.DUMMYFUNCTION("""COMPUTED_VALUE"""),32.0)</f>
        <v>32</v>
      </c>
      <c r="I360" s="11" t="str">
        <f>IFERROR(__xludf.DUMMYFUNCTION("""COMPUTED_VALUE"""),"[RBH] Ramisha Binty Hasan")</f>
        <v>[RBH] Ramisha Binty Hasan</v>
      </c>
      <c r="J360" s="13">
        <f t="shared" si="1"/>
        <v>1</v>
      </c>
    </row>
    <row r="361">
      <c r="A361" s="11" t="str">
        <f>IFERROR(__xludf.DUMMYFUNCTION("""COMPUTED_VALUE"""),"C")</f>
        <v>C</v>
      </c>
      <c r="B361" s="11" t="str">
        <f>IFERROR(__xludf.DUMMYFUNCTION("""COMPUTED_VALUE"""),"Slot - 09")</f>
        <v>Slot - 09</v>
      </c>
      <c r="C361" s="11" t="str">
        <f>IFERROR(__xludf.DUMMYFUNCTION("""COMPUTED_VALUE"""),"15.04.2026")</f>
        <v>15.04.2026</v>
      </c>
      <c r="D361" s="12">
        <f>IFERROR(__xludf.DUMMYFUNCTION("""COMPUTED_VALUE"""),0.6041666666678793)</f>
        <v>0.6041666667</v>
      </c>
      <c r="E361" s="12">
        <f>IFERROR(__xludf.DUMMYFUNCTION("""COMPUTED_VALUE"""),0.6666666666678793)</f>
        <v>0.6666666667</v>
      </c>
      <c r="F361" s="11" t="str">
        <f>IFERROR(__xludf.DUMMYFUNCTION("""COMPUTED_VALUE"""),"ACT141.2")</f>
        <v>ACT141.2</v>
      </c>
      <c r="G361" s="11" t="str">
        <f>IFERROR(__xludf.DUMMYFUNCTION("""COMPUTED_VALUE"""),"Introduction to Accounting")</f>
        <v>Introduction to Accounting</v>
      </c>
      <c r="H361" s="13">
        <f>IFERROR(__xludf.DUMMYFUNCTION("""COMPUTED_VALUE"""),41.0)</f>
        <v>41</v>
      </c>
      <c r="I361" s="11" t="str">
        <f>IFERROR(__xludf.DUMMYFUNCTION("""COMPUTED_VALUE"""),"[RBH] Ramisha Binty Hasan")</f>
        <v>[RBH] Ramisha Binty Hasan</v>
      </c>
      <c r="J361" s="13">
        <f t="shared" si="1"/>
        <v>1</v>
      </c>
    </row>
    <row r="362">
      <c r="A362" s="11" t="str">
        <f>IFERROR(__xludf.DUMMYFUNCTION("""COMPUTED_VALUE"""),"C")</f>
        <v>C</v>
      </c>
      <c r="B362" s="11" t="str">
        <f>IFERROR(__xludf.DUMMYFUNCTION("""COMPUTED_VALUE"""),"Slot - 10")</f>
        <v>Slot - 10</v>
      </c>
      <c r="C362" s="11" t="str">
        <f>IFERROR(__xludf.DUMMYFUNCTION("""COMPUTED_VALUE"""),"16.04.2026")</f>
        <v>16.04.2026</v>
      </c>
      <c r="D362" s="12">
        <f>IFERROR(__xludf.DUMMYFUNCTION("""COMPUTED_VALUE"""),0.3541666666678793)</f>
        <v>0.3541666667</v>
      </c>
      <c r="E362" s="12">
        <f>IFERROR(__xludf.DUMMYFUNCTION("""COMPUTED_VALUE"""),0.4166666666678793)</f>
        <v>0.4166666667</v>
      </c>
      <c r="F362" s="11" t="str">
        <f>IFERROR(__xludf.DUMMYFUNCTION("""COMPUTED_VALUE"""),"CSE265.8")</f>
        <v>CSE265.8</v>
      </c>
      <c r="G362" s="11" t="str">
        <f>IFERROR(__xludf.DUMMYFUNCTION("""COMPUTED_VALUE"""),"Algorithm")</f>
        <v>Algorithm</v>
      </c>
      <c r="H362" s="13">
        <f>IFERROR(__xludf.DUMMYFUNCTION("""COMPUTED_VALUE"""),39.0)</f>
        <v>39</v>
      </c>
      <c r="I362" s="11" t="str">
        <f>IFERROR(__xludf.DUMMYFUNCTION("""COMPUTED_VALUE"""),"[RFD] Rifat Ahommed")</f>
        <v>[RFD] Rifat Ahommed</v>
      </c>
      <c r="J362" s="13">
        <f t="shared" si="1"/>
        <v>-1</v>
      </c>
    </row>
    <row r="363">
      <c r="A363" s="11" t="str">
        <f>IFERROR(__xludf.DUMMYFUNCTION("""COMPUTED_VALUE"""),"C")</f>
        <v>C</v>
      </c>
      <c r="B363" s="11" t="str">
        <f>IFERROR(__xludf.DUMMYFUNCTION("""COMPUTED_VALUE"""),"Slot - 15")</f>
        <v>Slot - 15</v>
      </c>
      <c r="C363" s="11" t="str">
        <f>IFERROR(__xludf.DUMMYFUNCTION("""COMPUTED_VALUE"""),"18.04.2026")</f>
        <v>18.04.2026</v>
      </c>
      <c r="D363" s="12">
        <f>IFERROR(__xludf.DUMMYFUNCTION("""COMPUTED_VALUE"""),0.5625)</f>
        <v>0.5625</v>
      </c>
      <c r="E363" s="12">
        <f>IFERROR(__xludf.DUMMYFUNCTION("""COMPUTED_VALUE"""),0.625)</f>
        <v>0.625</v>
      </c>
      <c r="F363" s="11" t="str">
        <f>IFERROR(__xludf.DUMMYFUNCTION("""COMPUTED_VALUE"""),"CSE3011.1")</f>
        <v>CSE3011.1</v>
      </c>
      <c r="G363" s="11" t="str">
        <f>IFERROR(__xludf.DUMMYFUNCTION("""COMPUTED_VALUE"""),"Database Design")</f>
        <v>Database Design</v>
      </c>
      <c r="H363" s="13">
        <f>IFERROR(__xludf.DUMMYFUNCTION("""COMPUTED_VALUE"""),1.0)</f>
        <v>1</v>
      </c>
      <c r="I363" s="11" t="str">
        <f>IFERROR(__xludf.DUMMYFUNCTION("""COMPUTED_VALUE"""),"[RFD] Rifat Ahommed")</f>
        <v>[RFD] Rifat Ahommed</v>
      </c>
      <c r="J363" s="13">
        <f t="shared" si="1"/>
        <v>-1</v>
      </c>
    </row>
    <row r="364">
      <c r="A364" s="11" t="str">
        <f>IFERROR(__xludf.DUMMYFUNCTION("""COMPUTED_VALUE"""),"C")</f>
        <v>C</v>
      </c>
      <c r="B364" s="11" t="str">
        <f>IFERROR(__xludf.DUMMYFUNCTION("""COMPUTED_VALUE"""),"Slot - 15")</f>
        <v>Slot - 15</v>
      </c>
      <c r="C364" s="11" t="str">
        <f>IFERROR(__xludf.DUMMYFUNCTION("""COMPUTED_VALUE"""),"18.04.2026")</f>
        <v>18.04.2026</v>
      </c>
      <c r="D364" s="12">
        <f>IFERROR(__xludf.DUMMYFUNCTION("""COMPUTED_VALUE"""),0.5625)</f>
        <v>0.5625</v>
      </c>
      <c r="E364" s="12">
        <f>IFERROR(__xludf.DUMMYFUNCTION("""COMPUTED_VALUE"""),0.625)</f>
        <v>0.625</v>
      </c>
      <c r="F364" s="11" t="str">
        <f>IFERROR(__xludf.DUMMYFUNCTION("""COMPUTED_VALUE"""),"CSE383.1")</f>
        <v>CSE383.1</v>
      </c>
      <c r="G364" s="11" t="str">
        <f>IFERROR(__xludf.DUMMYFUNCTION("""COMPUTED_VALUE"""),"Database Design")</f>
        <v>Database Design</v>
      </c>
      <c r="H364" s="13">
        <f>IFERROR(__xludf.DUMMYFUNCTION("""COMPUTED_VALUE"""),21.0)</f>
        <v>21</v>
      </c>
      <c r="I364" s="11" t="str">
        <f>IFERROR(__xludf.DUMMYFUNCTION("""COMPUTED_VALUE"""),"[RFD] Rifat Ahommed")</f>
        <v>[RFD] Rifat Ahommed</v>
      </c>
      <c r="J364" s="13">
        <f t="shared" si="1"/>
        <v>-1</v>
      </c>
    </row>
    <row r="365">
      <c r="A365" s="11" t="str">
        <f>IFERROR(__xludf.DUMMYFUNCTION("""COMPUTED_VALUE"""),"C")</f>
        <v>C</v>
      </c>
      <c r="B365" s="11" t="str">
        <f>IFERROR(__xludf.DUMMYFUNCTION("""COMPUTED_VALUE"""),"Slot - 15")</f>
        <v>Slot - 15</v>
      </c>
      <c r="C365" s="11" t="str">
        <f>IFERROR(__xludf.DUMMYFUNCTION("""COMPUTED_VALUE"""),"18.04.2026")</f>
        <v>18.04.2026</v>
      </c>
      <c r="D365" s="12">
        <f>IFERROR(__xludf.DUMMYFUNCTION("""COMPUTED_VALUE"""),0.5625)</f>
        <v>0.5625</v>
      </c>
      <c r="E365" s="12">
        <f>IFERROR(__xludf.DUMMYFUNCTION("""COMPUTED_VALUE"""),0.625)</f>
        <v>0.625</v>
      </c>
      <c r="F365" s="11" t="str">
        <f>IFERROR(__xludf.DUMMYFUNCTION("""COMPUTED_VALUE"""),"CSE383.2")</f>
        <v>CSE383.2</v>
      </c>
      <c r="G365" s="11" t="str">
        <f>IFERROR(__xludf.DUMMYFUNCTION("""COMPUTED_VALUE"""),"Database Design")</f>
        <v>Database Design</v>
      </c>
      <c r="H365" s="13">
        <f>IFERROR(__xludf.DUMMYFUNCTION("""COMPUTED_VALUE"""),38.0)</f>
        <v>38</v>
      </c>
      <c r="I365" s="11" t="str">
        <f>IFERROR(__xludf.DUMMYFUNCTION("""COMPUTED_VALUE"""),"[RFD] Rifat Ahommed")</f>
        <v>[RFD] Rifat Ahommed</v>
      </c>
      <c r="J365" s="13">
        <f t="shared" si="1"/>
        <v>-1</v>
      </c>
    </row>
    <row r="366">
      <c r="A366" s="11" t="str">
        <f>IFERROR(__xludf.DUMMYFUNCTION("""COMPUTED_VALUE"""),"D")</f>
        <v>D</v>
      </c>
      <c r="B366" s="11" t="str">
        <f>IFERROR(__xludf.DUMMYFUNCTION("""COMPUTED_VALUE"""),"Slot - G")</f>
        <v>Slot - G</v>
      </c>
      <c r="C366" s="11" t="str">
        <f>IFERROR(__xludf.DUMMYFUNCTION("""COMPUTED_VALUE"""),"24.04.2026")</f>
        <v>24.04.2026</v>
      </c>
      <c r="D366" s="12">
        <f>IFERROR(__xludf.DUMMYFUNCTION("""COMPUTED_VALUE"""),0.375)</f>
        <v>0.375</v>
      </c>
      <c r="E366" s="12">
        <f>IFERROR(__xludf.DUMMYFUNCTION("""COMPUTED_VALUE"""),0.4375)</f>
        <v>0.4375</v>
      </c>
      <c r="F366" s="11" t="str">
        <f>IFERROR(__xludf.DUMMYFUNCTION("""COMPUTED_VALUE"""),"CSE265.12")</f>
        <v>CSE265.12</v>
      </c>
      <c r="G366" s="11" t="str">
        <f>IFERROR(__xludf.DUMMYFUNCTION("""COMPUTED_VALUE"""),"Algorithm")</f>
        <v>Algorithm</v>
      </c>
      <c r="H366" s="13">
        <f>IFERROR(__xludf.DUMMYFUNCTION("""COMPUTED_VALUE"""),41.0)</f>
        <v>41</v>
      </c>
      <c r="I366" s="11" t="str">
        <f>IFERROR(__xludf.DUMMYFUNCTION("""COMPUTED_VALUE"""),"[RFD] Rifat Ahommed")</f>
        <v>[RFD] Rifat Ahommed</v>
      </c>
      <c r="J366" s="13">
        <f t="shared" si="1"/>
        <v>-1</v>
      </c>
    </row>
    <row r="367">
      <c r="A367" s="11" t="str">
        <f>IFERROR(__xludf.DUMMYFUNCTION("""COMPUTED_VALUE"""),"D")</f>
        <v>D</v>
      </c>
      <c r="B367" s="11" t="str">
        <f>IFERROR(__xludf.DUMMYFUNCTION("""COMPUTED_VALUE"""),"Slot - C")</f>
        <v>Slot - C</v>
      </c>
      <c r="C367" s="11" t="str">
        <f>IFERROR(__xludf.DUMMYFUNCTION("""COMPUTED_VALUE"""),"17.04.2026")</f>
        <v>17.04.2026</v>
      </c>
      <c r="D367" s="12">
        <f>IFERROR(__xludf.DUMMYFUNCTION("""COMPUTED_VALUE"""),0.6041666666678793)</f>
        <v>0.6041666667</v>
      </c>
      <c r="E367" s="12">
        <f>IFERROR(__xludf.DUMMYFUNCTION("""COMPUTED_VALUE"""),0.6666666666678793)</f>
        <v>0.6666666667</v>
      </c>
      <c r="F367" s="11" t="str">
        <f>IFERROR(__xludf.DUMMYFUNCTION("""COMPUTED_VALUE"""),"CSE241.11")</f>
        <v>CSE241.11</v>
      </c>
      <c r="G367" s="11" t="str">
        <f>IFERROR(__xludf.DUMMYFUNCTION("""COMPUTED_VALUE"""),"Data Structures")</f>
        <v>Data Structures</v>
      </c>
      <c r="H367" s="13">
        <f>IFERROR(__xludf.DUMMYFUNCTION("""COMPUTED_VALUE"""),18.0)</f>
        <v>18</v>
      </c>
      <c r="I367" s="11" t="str">
        <f>IFERROR(__xludf.DUMMYFUNCTION("""COMPUTED_VALUE"""),"[RIM] Md. Robiul Islam")</f>
        <v>[RIM] Md. Robiul Islam</v>
      </c>
      <c r="J367" s="13">
        <f t="shared" si="1"/>
        <v>1</v>
      </c>
    </row>
    <row r="368">
      <c r="A368" s="11" t="str">
        <f>IFERROR(__xludf.DUMMYFUNCTION("""COMPUTED_VALUE"""),"D")</f>
        <v>D</v>
      </c>
      <c r="B368" s="11" t="str">
        <f>IFERROR(__xludf.DUMMYFUNCTION("""COMPUTED_VALUE"""),"Slot - G")</f>
        <v>Slot - G</v>
      </c>
      <c r="C368" s="11" t="str">
        <f>IFERROR(__xludf.DUMMYFUNCTION("""COMPUTED_VALUE"""),"24.04.2026")</f>
        <v>24.04.2026</v>
      </c>
      <c r="D368" s="12">
        <f>IFERROR(__xludf.DUMMYFUNCTION("""COMPUTED_VALUE"""),0.375)</f>
        <v>0.375</v>
      </c>
      <c r="E368" s="12">
        <f>IFERROR(__xludf.DUMMYFUNCTION("""COMPUTED_VALUE"""),0.4375)</f>
        <v>0.4375</v>
      </c>
      <c r="F368" s="11" t="str">
        <f>IFERROR(__xludf.DUMMYFUNCTION("""COMPUTED_VALUE"""),"CSE443.5")</f>
        <v>CSE443.5</v>
      </c>
      <c r="G368" s="11" t="str">
        <f>IFERROR(__xludf.DUMMYFUNCTION("""COMPUTED_VALUE"""),"Computer Graphics &amp; Animation")</f>
        <v>Computer Graphics &amp; Animation</v>
      </c>
      <c r="H368" s="13">
        <f>IFERROR(__xludf.DUMMYFUNCTION("""COMPUTED_VALUE"""),40.0)</f>
        <v>40</v>
      </c>
      <c r="I368" s="11" t="str">
        <f>IFERROR(__xludf.DUMMYFUNCTION("""COMPUTED_VALUE"""),"[RIM] Md. Robiul Islam")</f>
        <v>[RIM] Md. Robiul Islam</v>
      </c>
      <c r="J368" s="13">
        <f t="shared" si="1"/>
        <v>1</v>
      </c>
    </row>
    <row r="369">
      <c r="A369" s="11" t="str">
        <f>IFERROR(__xludf.DUMMYFUNCTION("""COMPUTED_VALUE"""),"D")</f>
        <v>D</v>
      </c>
      <c r="B369" s="11" t="str">
        <f>IFERROR(__xludf.DUMMYFUNCTION("""COMPUTED_VALUE"""),"Slot - C")</f>
        <v>Slot - C</v>
      </c>
      <c r="C369" s="11" t="str">
        <f>IFERROR(__xludf.DUMMYFUNCTION("""COMPUTED_VALUE"""),"17.04.2026")</f>
        <v>17.04.2026</v>
      </c>
      <c r="D369" s="12">
        <f>IFERROR(__xludf.DUMMYFUNCTION("""COMPUTED_VALUE"""),0.6041666666678793)</f>
        <v>0.6041666667</v>
      </c>
      <c r="E369" s="12">
        <f>IFERROR(__xludf.DUMMYFUNCTION("""COMPUTED_VALUE"""),0.6666666666678793)</f>
        <v>0.6666666667</v>
      </c>
      <c r="F369" s="11" t="str">
        <f>IFERROR(__xludf.DUMMYFUNCTION("""COMPUTED_VALUE"""),"CSE343.10")</f>
        <v>CSE343.10</v>
      </c>
      <c r="G369" s="11" t="str">
        <f>IFERROR(__xludf.DUMMYFUNCTION("""COMPUTED_VALUE"""),"Computer Architecture")</f>
        <v>Computer Architecture</v>
      </c>
      <c r="H369" s="13">
        <f>IFERROR(__xludf.DUMMYFUNCTION("""COMPUTED_VALUE"""),37.0)</f>
        <v>37</v>
      </c>
      <c r="I369" s="11" t="str">
        <f>IFERROR(__xludf.DUMMYFUNCTION("""COMPUTED_VALUE"""),"[RKM] Md. Rakibul Islam")</f>
        <v>[RKM] Md. Rakibul Islam</v>
      </c>
      <c r="J369" s="13">
        <f t="shared" si="1"/>
        <v>-1</v>
      </c>
    </row>
    <row r="370">
      <c r="A370" s="11" t="str">
        <f>IFERROR(__xludf.DUMMYFUNCTION("""COMPUTED_VALUE"""),"C")</f>
        <v>C</v>
      </c>
      <c r="B370" s="11" t="str">
        <f>IFERROR(__xludf.DUMMYFUNCTION("""COMPUTED_VALUE"""),"Slot - 18")</f>
        <v>Slot - 18</v>
      </c>
      <c r="C370" s="11" t="str">
        <f>IFERROR(__xludf.DUMMYFUNCTION("""COMPUTED_VALUE"""),"19.04.2026")</f>
        <v>19.04.2026</v>
      </c>
      <c r="D370" s="12">
        <f>IFERROR(__xludf.DUMMYFUNCTION("""COMPUTED_VALUE"""),0.6041666666678793)</f>
        <v>0.6041666667</v>
      </c>
      <c r="E370" s="12">
        <f>IFERROR(__xludf.DUMMYFUNCTION("""COMPUTED_VALUE"""),0.6666666666678793)</f>
        <v>0.6666666667</v>
      </c>
      <c r="F370" s="11" t="str">
        <f>IFERROR(__xludf.DUMMYFUNCTION("""COMPUTED_VALUE"""),"CSE261.7")</f>
        <v>CSE261.7</v>
      </c>
      <c r="G370" s="11" t="str">
        <f>IFERROR(__xludf.DUMMYFUNCTION("""COMPUTED_VALUE"""),"Numerical Methods")</f>
        <v>Numerical Methods</v>
      </c>
      <c r="H370" s="13">
        <f>IFERROR(__xludf.DUMMYFUNCTION("""COMPUTED_VALUE"""),38.0)</f>
        <v>38</v>
      </c>
      <c r="I370" s="11" t="str">
        <f>IFERROR(__xludf.DUMMYFUNCTION("""COMPUTED_VALUE"""),"[RKM] Md. Rakibul Islam")</f>
        <v>[RKM] Md. Rakibul Islam</v>
      </c>
      <c r="J370" s="13">
        <f t="shared" si="1"/>
        <v>-1</v>
      </c>
    </row>
    <row r="371">
      <c r="A371" s="11" t="str">
        <f>IFERROR(__xludf.DUMMYFUNCTION("""COMPUTED_VALUE"""),"C")</f>
        <v>C</v>
      </c>
      <c r="B371" s="11" t="str">
        <f>IFERROR(__xludf.DUMMYFUNCTION("""COMPUTED_VALUE"""),"Slot - 18")</f>
        <v>Slot - 18</v>
      </c>
      <c r="C371" s="11" t="str">
        <f>IFERROR(__xludf.DUMMYFUNCTION("""COMPUTED_VALUE"""),"19.04.2026")</f>
        <v>19.04.2026</v>
      </c>
      <c r="D371" s="12">
        <f>IFERROR(__xludf.DUMMYFUNCTION("""COMPUTED_VALUE"""),0.6041666666678793)</f>
        <v>0.6041666667</v>
      </c>
      <c r="E371" s="12">
        <f>IFERROR(__xludf.DUMMYFUNCTION("""COMPUTED_VALUE"""),0.6666666666678793)</f>
        <v>0.6666666667</v>
      </c>
      <c r="F371" s="11" t="str">
        <f>IFERROR(__xludf.DUMMYFUNCTION("""COMPUTED_VALUE"""),"CSE261.8")</f>
        <v>CSE261.8</v>
      </c>
      <c r="G371" s="11" t="str">
        <f>IFERROR(__xludf.DUMMYFUNCTION("""COMPUTED_VALUE"""),"Numerical Methods")</f>
        <v>Numerical Methods</v>
      </c>
      <c r="H371" s="13">
        <f>IFERROR(__xludf.DUMMYFUNCTION("""COMPUTED_VALUE"""),21.0)</f>
        <v>21</v>
      </c>
      <c r="I371" s="11" t="str">
        <f>IFERROR(__xludf.DUMMYFUNCTION("""COMPUTED_VALUE"""),"[RKM] Md. Rakibul Islam")</f>
        <v>[RKM] Md. Rakibul Islam</v>
      </c>
      <c r="J371" s="13">
        <f t="shared" si="1"/>
        <v>-1</v>
      </c>
    </row>
    <row r="372">
      <c r="A372" s="11" t="str">
        <f>IFERROR(__xludf.DUMMYFUNCTION("""COMPUTED_VALUE"""),"D")</f>
        <v>D</v>
      </c>
      <c r="B372" s="11" t="str">
        <f>IFERROR(__xludf.DUMMYFUNCTION("""COMPUTED_VALUE"""),"Slot - D")</f>
        <v>Slot - D</v>
      </c>
      <c r="C372" s="11" t="str">
        <f>IFERROR(__xludf.DUMMYFUNCTION("""COMPUTED_VALUE"""),"17.04.2026")</f>
        <v>17.04.2026</v>
      </c>
      <c r="D372" s="12">
        <f>IFERROR(__xludf.DUMMYFUNCTION("""COMPUTED_VALUE"""),0.7083333333321207)</f>
        <v>0.7083333333</v>
      </c>
      <c r="E372" s="12">
        <f>IFERROR(__xludf.DUMMYFUNCTION("""COMPUTED_VALUE"""),0.7708333333321207)</f>
        <v>0.7708333333</v>
      </c>
      <c r="F372" s="11" t="str">
        <f>IFERROR(__xludf.DUMMYFUNCTION("""COMPUTED_VALUE"""),"CSE345.13")</f>
        <v>CSE345.13</v>
      </c>
      <c r="G372" s="11" t="str">
        <f>IFERROR(__xludf.DUMMYFUNCTION("""COMPUTED_VALUE"""),"Information System Design &amp; Software Engineering")</f>
        <v>Information System Design &amp; Software Engineering</v>
      </c>
      <c r="H372" s="13">
        <f>IFERROR(__xludf.DUMMYFUNCTION("""COMPUTED_VALUE"""),36.0)</f>
        <v>36</v>
      </c>
      <c r="I372" s="11" t="str">
        <f>IFERROR(__xludf.DUMMYFUNCTION("""COMPUTED_VALUE"""),"[RUAI] Rubayed All Islam")</f>
        <v>[RUAI] Rubayed All Islam</v>
      </c>
      <c r="J372" s="13">
        <f t="shared" si="1"/>
        <v>1</v>
      </c>
    </row>
    <row r="373">
      <c r="A373" s="11" t="str">
        <f>IFERROR(__xludf.DUMMYFUNCTION("""COMPUTED_VALUE"""),"C")</f>
        <v>C</v>
      </c>
      <c r="B373" s="11" t="str">
        <f>IFERROR(__xludf.DUMMYFUNCTION("""COMPUTED_VALUE"""),"Slot - 04")</f>
        <v>Slot - 04</v>
      </c>
      <c r="C373" s="11" t="str">
        <f>IFERROR(__xludf.DUMMYFUNCTION("""COMPUTED_VALUE"""),"13.04.2026")</f>
        <v>13.04.2026</v>
      </c>
      <c r="D373" s="12">
        <f>IFERROR(__xludf.DUMMYFUNCTION("""COMPUTED_VALUE"""),0.3541666666678793)</f>
        <v>0.3541666667</v>
      </c>
      <c r="E373" s="12">
        <f>IFERROR(__xludf.DUMMYFUNCTION("""COMPUTED_VALUE"""),0.4166666666678793)</f>
        <v>0.4166666667</v>
      </c>
      <c r="F373" s="11" t="str">
        <f>IFERROR(__xludf.DUMMYFUNCTION("""COMPUTED_VALUE"""),"ELL1303.2")</f>
        <v>ELL1303.2</v>
      </c>
      <c r="G373" s="11" t="str">
        <f>IFERROR(__xludf.DUMMYFUNCTION("""COMPUTED_VALUE"""),"Advanced English Skills")</f>
        <v>Advanced English Skills</v>
      </c>
      <c r="H373" s="13">
        <f>IFERROR(__xludf.DUMMYFUNCTION("""COMPUTED_VALUE"""),31.0)</f>
        <v>31</v>
      </c>
      <c r="I373" s="11" t="str">
        <f>IFERROR(__xludf.DUMMYFUNCTION("""COMPUTED_VALUE"""),"[RUI] Rukhsana Islam")</f>
        <v>[RUI] Rukhsana Islam</v>
      </c>
      <c r="J373" s="13">
        <f t="shared" si="1"/>
        <v>-1</v>
      </c>
    </row>
    <row r="374">
      <c r="A374" s="11" t="str">
        <f>IFERROR(__xludf.DUMMYFUNCTION("""COMPUTED_VALUE"""),"C")</f>
        <v>C</v>
      </c>
      <c r="B374" s="11" t="str">
        <f>IFERROR(__xludf.DUMMYFUNCTION("""COMPUTED_VALUE"""),"Slot - 18")</f>
        <v>Slot - 18</v>
      </c>
      <c r="C374" s="11" t="str">
        <f>IFERROR(__xludf.DUMMYFUNCTION("""COMPUTED_VALUE"""),"19.04.2026")</f>
        <v>19.04.2026</v>
      </c>
      <c r="D374" s="12">
        <f>IFERROR(__xludf.DUMMYFUNCTION("""COMPUTED_VALUE"""),0.6041666666678793)</f>
        <v>0.6041666667</v>
      </c>
      <c r="E374" s="12">
        <f>IFERROR(__xludf.DUMMYFUNCTION("""COMPUTED_VALUE"""),0.6666666666678793)</f>
        <v>0.6666666667</v>
      </c>
      <c r="F374" s="11" t="str">
        <f>IFERROR(__xludf.DUMMYFUNCTION("""COMPUTED_VALUE"""),"CSE4013.1")</f>
        <v>CSE4013.1</v>
      </c>
      <c r="G374" s="11" t="str">
        <f>IFERROR(__xludf.DUMMYFUNCTION("""COMPUTED_VALUE"""),"Computer Graphics and Animation")</f>
        <v>Computer Graphics and Animation</v>
      </c>
      <c r="H374" s="13">
        <f>IFERROR(__xludf.DUMMYFUNCTION("""COMPUTED_VALUE"""),2.0)</f>
        <v>2</v>
      </c>
      <c r="I374" s="11" t="str">
        <f>IFERROR(__xludf.DUMMYFUNCTION("""COMPUTED_VALUE"""),"[RZC] Md. Reasad Zaman Chowdhury")</f>
        <v>[RZC] Md. Reasad Zaman Chowdhury</v>
      </c>
      <c r="J374" s="13">
        <f t="shared" si="1"/>
        <v>1</v>
      </c>
    </row>
    <row r="375">
      <c r="A375" s="11" t="str">
        <f>IFERROR(__xludf.DUMMYFUNCTION("""COMPUTED_VALUE"""),"C")</f>
        <v>C</v>
      </c>
      <c r="B375" s="11" t="str">
        <f>IFERROR(__xludf.DUMMYFUNCTION("""COMPUTED_VALUE"""),"Slot - 18")</f>
        <v>Slot - 18</v>
      </c>
      <c r="C375" s="11" t="str">
        <f>IFERROR(__xludf.DUMMYFUNCTION("""COMPUTED_VALUE"""),"19.04.2026")</f>
        <v>19.04.2026</v>
      </c>
      <c r="D375" s="12">
        <f>IFERROR(__xludf.DUMMYFUNCTION("""COMPUTED_VALUE"""),0.6041666666678793)</f>
        <v>0.6041666667</v>
      </c>
      <c r="E375" s="12">
        <f>IFERROR(__xludf.DUMMYFUNCTION("""COMPUTED_VALUE"""),0.6666666666678793)</f>
        <v>0.6666666667</v>
      </c>
      <c r="F375" s="11" t="str">
        <f>IFERROR(__xludf.DUMMYFUNCTION("""COMPUTED_VALUE"""),"CSE443.4")</f>
        <v>CSE443.4</v>
      </c>
      <c r="G375" s="11" t="str">
        <f>IFERROR(__xludf.DUMMYFUNCTION("""COMPUTED_VALUE"""),"Computer Graphics &amp; Animation")</f>
        <v>Computer Graphics &amp; Animation</v>
      </c>
      <c r="H375" s="13">
        <f>IFERROR(__xludf.DUMMYFUNCTION("""COMPUTED_VALUE"""),40.0)</f>
        <v>40</v>
      </c>
      <c r="I375" s="11" t="str">
        <f>IFERROR(__xludf.DUMMYFUNCTION("""COMPUTED_VALUE"""),"[RZC] Md. Reasad Zaman Chowdhury")</f>
        <v>[RZC] Md. Reasad Zaman Chowdhury</v>
      </c>
      <c r="J375" s="13">
        <f t="shared" si="1"/>
        <v>1</v>
      </c>
    </row>
    <row r="376">
      <c r="A376" s="11" t="str">
        <f>IFERROR(__xludf.DUMMYFUNCTION("""COMPUTED_VALUE"""),"D")</f>
        <v>D</v>
      </c>
      <c r="B376" s="11" t="str">
        <f>IFERROR(__xludf.DUMMYFUNCTION("""COMPUTED_VALUE"""),"Slot - I")</f>
        <v>Slot - I</v>
      </c>
      <c r="C376" s="11" t="str">
        <f>IFERROR(__xludf.DUMMYFUNCTION("""COMPUTED_VALUE"""),"24.04.2026")</f>
        <v>24.04.2026</v>
      </c>
      <c r="D376" s="12">
        <f>IFERROR(__xludf.DUMMYFUNCTION("""COMPUTED_VALUE"""),0.6041666666678793)</f>
        <v>0.6041666667</v>
      </c>
      <c r="E376" s="12">
        <f>IFERROR(__xludf.DUMMYFUNCTION("""COMPUTED_VALUE"""),0.6666666666678793)</f>
        <v>0.6666666667</v>
      </c>
      <c r="F376" s="11" t="str">
        <f>IFERROR(__xludf.DUMMYFUNCTION("""COMPUTED_VALUE"""),"CSE443.6")</f>
        <v>CSE443.6</v>
      </c>
      <c r="G376" s="11" t="str">
        <f>IFERROR(__xludf.DUMMYFUNCTION("""COMPUTED_VALUE"""),"Computer Graphics &amp; Animation")</f>
        <v>Computer Graphics &amp; Animation</v>
      </c>
      <c r="H376" s="13">
        <f>IFERROR(__xludf.DUMMYFUNCTION("""COMPUTED_VALUE"""),41.0)</f>
        <v>41</v>
      </c>
      <c r="I376" s="11" t="str">
        <f>IFERROR(__xludf.DUMMYFUNCTION("""COMPUTED_VALUE"""),"[RZC] Md. Reasad Zaman Chowdhury")</f>
        <v>[RZC] Md. Reasad Zaman Chowdhury</v>
      </c>
      <c r="J376" s="13">
        <f t="shared" si="1"/>
        <v>1</v>
      </c>
    </row>
    <row r="377">
      <c r="A377" s="11" t="str">
        <f>IFERROR(__xludf.DUMMYFUNCTION("""COMPUTED_VALUE"""),"C")</f>
        <v>C</v>
      </c>
      <c r="B377" s="11" t="str">
        <f>IFERROR(__xludf.DUMMYFUNCTION("""COMPUTED_VALUE"""),"Slot - 06")</f>
        <v>Slot - 06</v>
      </c>
      <c r="C377" s="11" t="str">
        <f>IFERROR(__xludf.DUMMYFUNCTION("""COMPUTED_VALUE"""),"13.04.2026")</f>
        <v>13.04.2026</v>
      </c>
      <c r="D377" s="12">
        <f>IFERROR(__xludf.DUMMYFUNCTION("""COMPUTED_VALUE"""),0.6041666666678793)</f>
        <v>0.6041666667</v>
      </c>
      <c r="E377" s="12">
        <f>IFERROR(__xludf.DUMMYFUNCTION("""COMPUTED_VALUE"""),0.6666666666678793)</f>
        <v>0.6666666667</v>
      </c>
      <c r="F377" s="11" t="str">
        <f>IFERROR(__xludf.DUMMYFUNCTION("""COMPUTED_VALUE"""),"ENG103.34")</f>
        <v>ENG103.34</v>
      </c>
      <c r="G377" s="11" t="str">
        <f>IFERROR(__xludf.DUMMYFUNCTION("""COMPUTED_VALUE"""),"Advanced English Skills")</f>
        <v>Advanced English Skills</v>
      </c>
      <c r="H377" s="13">
        <f>IFERROR(__xludf.DUMMYFUNCTION("""COMPUTED_VALUE"""),40.0)</f>
        <v>40</v>
      </c>
      <c r="I377" s="11" t="str">
        <f>IFERROR(__xludf.DUMMYFUNCTION("""COMPUTED_VALUE"""),"[SABK] Sabiha Anjum Koli")</f>
        <v>[SABK] Sabiha Anjum Koli</v>
      </c>
      <c r="J377" s="13">
        <f t="shared" si="1"/>
        <v>-1</v>
      </c>
    </row>
    <row r="378">
      <c r="A378" s="11" t="str">
        <f>IFERROR(__xludf.DUMMYFUNCTION("""COMPUTED_VALUE"""),"C")</f>
        <v>C</v>
      </c>
      <c r="B378" s="11" t="str">
        <f>IFERROR(__xludf.DUMMYFUNCTION("""COMPUTED_VALUE"""),"Slot - 06")</f>
        <v>Slot - 06</v>
      </c>
      <c r="C378" s="11" t="str">
        <f>IFERROR(__xludf.DUMMYFUNCTION("""COMPUTED_VALUE"""),"13.04.2026")</f>
        <v>13.04.2026</v>
      </c>
      <c r="D378" s="12">
        <f>IFERROR(__xludf.DUMMYFUNCTION("""COMPUTED_VALUE"""),0.6041666666678793)</f>
        <v>0.6041666667</v>
      </c>
      <c r="E378" s="12">
        <f>IFERROR(__xludf.DUMMYFUNCTION("""COMPUTED_VALUE"""),0.6666666666678793)</f>
        <v>0.6666666667</v>
      </c>
      <c r="F378" s="11" t="str">
        <f>IFERROR(__xludf.DUMMYFUNCTION("""COMPUTED_VALUE"""),"ENG103.36")</f>
        <v>ENG103.36</v>
      </c>
      <c r="G378" s="11" t="str">
        <f>IFERROR(__xludf.DUMMYFUNCTION("""COMPUTED_VALUE"""),"Advanced English Skills")</f>
        <v>Advanced English Skills</v>
      </c>
      <c r="H378" s="13">
        <f>IFERROR(__xludf.DUMMYFUNCTION("""COMPUTED_VALUE"""),39.0)</f>
        <v>39</v>
      </c>
      <c r="I378" s="11" t="str">
        <f>IFERROR(__xludf.DUMMYFUNCTION("""COMPUTED_VALUE"""),"[SABK] Sabiha Anjum Koli")</f>
        <v>[SABK] Sabiha Anjum Koli</v>
      </c>
      <c r="J378" s="13">
        <f t="shared" si="1"/>
        <v>-1</v>
      </c>
    </row>
    <row r="379">
      <c r="A379" s="11" t="str">
        <f>IFERROR(__xludf.DUMMYFUNCTION("""COMPUTED_VALUE"""),"C")</f>
        <v>C</v>
      </c>
      <c r="B379" s="11" t="str">
        <f>IFERROR(__xludf.DUMMYFUNCTION("""COMPUTED_VALUE"""),"Slot - 04")</f>
        <v>Slot - 04</v>
      </c>
      <c r="C379" s="11" t="str">
        <f>IFERROR(__xludf.DUMMYFUNCTION("""COMPUTED_VALUE"""),"13.04.2026")</f>
        <v>13.04.2026</v>
      </c>
      <c r="D379" s="12">
        <f>IFERROR(__xludf.DUMMYFUNCTION("""COMPUTED_VALUE"""),0.3541666666678793)</f>
        <v>0.3541666667</v>
      </c>
      <c r="E379" s="12">
        <f>IFERROR(__xludf.DUMMYFUNCTION("""COMPUTED_VALUE"""),0.4166666666678793)</f>
        <v>0.4166666667</v>
      </c>
      <c r="F379" s="11" t="str">
        <f>IFERROR(__xludf.DUMMYFUNCTION("""COMPUTED_VALUE"""),"ELL1303.1")</f>
        <v>ELL1303.1</v>
      </c>
      <c r="G379" s="11" t="str">
        <f>IFERROR(__xludf.DUMMYFUNCTION("""COMPUTED_VALUE"""),"Advanced English Skills")</f>
        <v>Advanced English Skills</v>
      </c>
      <c r="H379" s="13">
        <f>IFERROR(__xludf.DUMMYFUNCTION("""COMPUTED_VALUE"""),30.0)</f>
        <v>30</v>
      </c>
      <c r="I379" s="11" t="str">
        <f>IFERROR(__xludf.DUMMYFUNCTION("""COMPUTED_VALUE"""),"[SAIS] Sadia Islam")</f>
        <v>[SAIS] Sadia Islam</v>
      </c>
      <c r="J379" s="13">
        <f t="shared" si="1"/>
        <v>1</v>
      </c>
    </row>
    <row r="380">
      <c r="A380" s="11" t="str">
        <f>IFERROR(__xludf.DUMMYFUNCTION("""COMPUTED_VALUE"""),"C")</f>
        <v>C</v>
      </c>
      <c r="B380" s="11" t="str">
        <f>IFERROR(__xludf.DUMMYFUNCTION("""COMPUTED_VALUE"""),"Slot - 04")</f>
        <v>Slot - 04</v>
      </c>
      <c r="C380" s="11" t="str">
        <f>IFERROR(__xludf.DUMMYFUNCTION("""COMPUTED_VALUE"""),"13.04.2026")</f>
        <v>13.04.2026</v>
      </c>
      <c r="D380" s="12">
        <f>IFERROR(__xludf.DUMMYFUNCTION("""COMPUTED_VALUE"""),0.3541666666678793)</f>
        <v>0.3541666667</v>
      </c>
      <c r="E380" s="12">
        <f>IFERROR(__xludf.DUMMYFUNCTION("""COMPUTED_VALUE"""),0.4166666666678793)</f>
        <v>0.4166666667</v>
      </c>
      <c r="F380" s="11" t="str">
        <f>IFERROR(__xludf.DUMMYFUNCTION("""COMPUTED_VALUE"""),"ELL1303.3")</f>
        <v>ELL1303.3</v>
      </c>
      <c r="G380" s="11" t="str">
        <f>IFERROR(__xludf.DUMMYFUNCTION("""COMPUTED_VALUE"""),"Advanced English Skills")</f>
        <v>Advanced English Skills</v>
      </c>
      <c r="H380" s="13">
        <f>IFERROR(__xludf.DUMMYFUNCTION("""COMPUTED_VALUE"""),33.0)</f>
        <v>33</v>
      </c>
      <c r="I380" s="11" t="str">
        <f>IFERROR(__xludf.DUMMYFUNCTION("""COMPUTED_VALUE"""),"[SAIS] Sadia Islam")</f>
        <v>[SAIS] Sadia Islam</v>
      </c>
      <c r="J380" s="13">
        <f t="shared" si="1"/>
        <v>1</v>
      </c>
    </row>
    <row r="381">
      <c r="A381" s="11" t="str">
        <f>IFERROR(__xludf.DUMMYFUNCTION("""COMPUTED_VALUE"""),"C")</f>
        <v>C</v>
      </c>
      <c r="B381" s="11" t="str">
        <f>IFERROR(__xludf.DUMMYFUNCTION("""COMPUTED_VALUE"""),"Slot - 05")</f>
        <v>Slot - 05</v>
      </c>
      <c r="C381" s="11" t="str">
        <f>IFERROR(__xludf.DUMMYFUNCTION("""COMPUTED_VALUE"""),"13.04.2026")</f>
        <v>13.04.2026</v>
      </c>
      <c r="D381" s="12">
        <f>IFERROR(__xludf.DUMMYFUNCTION("""COMPUTED_VALUE"""),0.4791666666678793)</f>
        <v>0.4791666667</v>
      </c>
      <c r="E381" s="12">
        <f>IFERROR(__xludf.DUMMYFUNCTION("""COMPUTED_VALUE"""),0.5416666666678793)</f>
        <v>0.5416666667</v>
      </c>
      <c r="F381" s="11" t="str">
        <f>IFERROR(__xludf.DUMMYFUNCTION("""COMPUTED_VALUE"""),"ENG102.27")</f>
        <v>ENG102.27</v>
      </c>
      <c r="G381" s="11" t="str">
        <f>IFERROR(__xludf.DUMMYFUNCTION("""COMPUTED_VALUE"""),"Intermediate English Skills")</f>
        <v>Intermediate English Skills</v>
      </c>
      <c r="H381" s="13">
        <f>IFERROR(__xludf.DUMMYFUNCTION("""COMPUTED_VALUE"""),40.0)</f>
        <v>40</v>
      </c>
      <c r="I381" s="11" t="str">
        <f>IFERROR(__xludf.DUMMYFUNCTION("""COMPUTED_VALUE"""),"[SAIS] Sadia Islam")</f>
        <v>[SAIS] Sadia Islam</v>
      </c>
      <c r="J381" s="13">
        <f t="shared" si="1"/>
        <v>1</v>
      </c>
    </row>
    <row r="382">
      <c r="A382" s="11" t="str">
        <f>IFERROR(__xludf.DUMMYFUNCTION("""COMPUTED_VALUE"""),"C")</f>
        <v>C</v>
      </c>
      <c r="B382" s="11" t="str">
        <f>IFERROR(__xludf.DUMMYFUNCTION("""COMPUTED_VALUE"""),"Slot - 05")</f>
        <v>Slot - 05</v>
      </c>
      <c r="C382" s="11" t="str">
        <f>IFERROR(__xludf.DUMMYFUNCTION("""COMPUTED_VALUE"""),"13.04.2026")</f>
        <v>13.04.2026</v>
      </c>
      <c r="D382" s="12">
        <f>IFERROR(__xludf.DUMMYFUNCTION("""COMPUTED_VALUE"""),0.4791666666678793)</f>
        <v>0.4791666667</v>
      </c>
      <c r="E382" s="12">
        <f>IFERROR(__xludf.DUMMYFUNCTION("""COMPUTED_VALUE"""),0.5416666666678793)</f>
        <v>0.5416666667</v>
      </c>
      <c r="F382" s="11" t="str">
        <f>IFERROR(__xludf.DUMMYFUNCTION("""COMPUTED_VALUE"""),"ENG102.32")</f>
        <v>ENG102.32</v>
      </c>
      <c r="G382" s="11" t="str">
        <f>IFERROR(__xludf.DUMMYFUNCTION("""COMPUTED_VALUE"""),"Intermediate English Skills")</f>
        <v>Intermediate English Skills</v>
      </c>
      <c r="H382" s="13">
        <f>IFERROR(__xludf.DUMMYFUNCTION("""COMPUTED_VALUE"""),40.0)</f>
        <v>40</v>
      </c>
      <c r="I382" s="11" t="str">
        <f>IFERROR(__xludf.DUMMYFUNCTION("""COMPUTED_VALUE"""),"[SAIS] Sadia Islam")</f>
        <v>[SAIS] Sadia Islam</v>
      </c>
      <c r="J382" s="13">
        <f t="shared" si="1"/>
        <v>1</v>
      </c>
    </row>
    <row r="383">
      <c r="A383" s="11" t="str">
        <f>IFERROR(__xludf.DUMMYFUNCTION("""COMPUTED_VALUE"""),"C")</f>
        <v>C</v>
      </c>
      <c r="B383" s="11" t="str">
        <f>IFERROR(__xludf.DUMMYFUNCTION("""COMPUTED_VALUE"""),"Slot - 09")</f>
        <v>Slot - 09</v>
      </c>
      <c r="C383" s="11" t="str">
        <f>IFERROR(__xludf.DUMMYFUNCTION("""COMPUTED_VALUE"""),"15.04.2026")</f>
        <v>15.04.2026</v>
      </c>
      <c r="D383" s="12">
        <f>IFERROR(__xludf.DUMMYFUNCTION("""COMPUTED_VALUE"""),0.6041666666678793)</f>
        <v>0.6041666667</v>
      </c>
      <c r="E383" s="12">
        <f>IFERROR(__xludf.DUMMYFUNCTION("""COMPUTED_VALUE"""),0.6666666666678793)</f>
        <v>0.6666666667</v>
      </c>
      <c r="F383" s="11" t="str">
        <f>IFERROR(__xludf.DUMMYFUNCTION("""COMPUTED_VALUE"""),"ENG105.24")</f>
        <v>ENG105.24</v>
      </c>
      <c r="G383" s="11" t="str">
        <f>IFERROR(__xludf.DUMMYFUNCTION("""COMPUTED_VALUE"""),"Public Speaking")</f>
        <v>Public Speaking</v>
      </c>
      <c r="H383" s="13">
        <f>IFERROR(__xludf.DUMMYFUNCTION("""COMPUTED_VALUE"""),23.0)</f>
        <v>23</v>
      </c>
      <c r="I383" s="11" t="str">
        <f>IFERROR(__xludf.DUMMYFUNCTION("""COMPUTED_VALUE"""),"[SAIS] Sadia Islam")</f>
        <v>[SAIS] Sadia Islam</v>
      </c>
      <c r="J383" s="13">
        <f t="shared" si="1"/>
        <v>1</v>
      </c>
    </row>
    <row r="384">
      <c r="A384" s="11" t="str">
        <f>IFERROR(__xludf.DUMMYFUNCTION("""COMPUTED_VALUE"""),"C")</f>
        <v>C</v>
      </c>
      <c r="B384" s="11" t="str">
        <f>IFERROR(__xludf.DUMMYFUNCTION("""COMPUTED_VALUE"""),"Slot - 03")</f>
        <v>Slot - 03</v>
      </c>
      <c r="C384" s="11" t="str">
        <f>IFERROR(__xludf.DUMMYFUNCTION("""COMPUTED_VALUE"""),"12.04.2026")</f>
        <v>12.04.2026</v>
      </c>
      <c r="D384" s="12">
        <f>IFERROR(__xludf.DUMMYFUNCTION("""COMPUTED_VALUE"""),0.6041666666678793)</f>
        <v>0.6041666667</v>
      </c>
      <c r="E384" s="12">
        <f>IFERROR(__xludf.DUMMYFUNCTION("""COMPUTED_VALUE"""),0.6666666666678793)</f>
        <v>0.6666666667</v>
      </c>
      <c r="F384" s="11" t="str">
        <f>IFERROR(__xludf.DUMMYFUNCTION("""COMPUTED_VALUE"""),"STA281.8")</f>
        <v>STA281.8</v>
      </c>
      <c r="G384" s="11" t="str">
        <f>IFERROR(__xludf.DUMMYFUNCTION("""COMPUTED_VALUE"""),"Statistical Methods &amp; Probability")</f>
        <v>Statistical Methods &amp; Probability</v>
      </c>
      <c r="H384" s="13">
        <f>IFERROR(__xludf.DUMMYFUNCTION("""COMPUTED_VALUE"""),40.0)</f>
        <v>40</v>
      </c>
      <c r="I384" s="11" t="str">
        <f>IFERROR(__xludf.DUMMYFUNCTION("""COMPUTED_VALUE"""),"[SAMD] Shifat Ahmed")</f>
        <v>[SAMD] Shifat Ahmed</v>
      </c>
      <c r="J384" s="13">
        <f t="shared" si="1"/>
        <v>-1</v>
      </c>
    </row>
    <row r="385">
      <c r="A385" s="11" t="str">
        <f>IFERROR(__xludf.DUMMYFUNCTION("""COMPUTED_VALUE"""),"C")</f>
        <v>C</v>
      </c>
      <c r="B385" s="11" t="str">
        <f>IFERROR(__xludf.DUMMYFUNCTION("""COMPUTED_VALUE"""),"Slot - 03")</f>
        <v>Slot - 03</v>
      </c>
      <c r="C385" s="11" t="str">
        <f>IFERROR(__xludf.DUMMYFUNCTION("""COMPUTED_VALUE"""),"12.04.2026")</f>
        <v>12.04.2026</v>
      </c>
      <c r="D385" s="12">
        <f>IFERROR(__xludf.DUMMYFUNCTION("""COMPUTED_VALUE"""),0.6041666666678793)</f>
        <v>0.6041666667</v>
      </c>
      <c r="E385" s="12">
        <f>IFERROR(__xludf.DUMMYFUNCTION("""COMPUTED_VALUE"""),0.6666666666678793)</f>
        <v>0.6666666667</v>
      </c>
      <c r="F385" s="11" t="str">
        <f>IFERROR(__xludf.DUMMYFUNCTION("""COMPUTED_VALUE"""),"STA281.9")</f>
        <v>STA281.9</v>
      </c>
      <c r="G385" s="11" t="str">
        <f>IFERROR(__xludf.DUMMYFUNCTION("""COMPUTED_VALUE"""),"Statistical Methods &amp; Probability")</f>
        <v>Statistical Methods &amp; Probability</v>
      </c>
      <c r="H385" s="13">
        <f>IFERROR(__xludf.DUMMYFUNCTION("""COMPUTED_VALUE"""),40.0)</f>
        <v>40</v>
      </c>
      <c r="I385" s="11" t="str">
        <f>IFERROR(__xludf.DUMMYFUNCTION("""COMPUTED_VALUE"""),"[SAMD] Shifat Ahmed")</f>
        <v>[SAMD] Shifat Ahmed</v>
      </c>
      <c r="J385" s="13">
        <f t="shared" si="1"/>
        <v>-1</v>
      </c>
    </row>
    <row r="386">
      <c r="A386" s="11" t="str">
        <f>IFERROR(__xludf.DUMMYFUNCTION("""COMPUTED_VALUE"""),"C")</f>
        <v>C</v>
      </c>
      <c r="B386" s="11" t="str">
        <f>IFERROR(__xludf.DUMMYFUNCTION("""COMPUTED_VALUE"""),"Slot - 15")</f>
        <v>Slot - 15</v>
      </c>
      <c r="C386" s="11" t="str">
        <f>IFERROR(__xludf.DUMMYFUNCTION("""COMPUTED_VALUE"""),"18.04.2026")</f>
        <v>18.04.2026</v>
      </c>
      <c r="D386" s="12">
        <f>IFERROR(__xludf.DUMMYFUNCTION("""COMPUTED_VALUE"""),0.5625)</f>
        <v>0.5625</v>
      </c>
      <c r="E386" s="12">
        <f>IFERROR(__xludf.DUMMYFUNCTION("""COMPUTED_VALUE"""),0.625)</f>
        <v>0.625</v>
      </c>
      <c r="F386" s="11" t="str">
        <f>IFERROR(__xludf.DUMMYFUNCTION("""COMPUTED_VALUE"""),"MAT241.1")</f>
        <v>MAT241.1</v>
      </c>
      <c r="G386" s="11" t="str">
        <f>IFERROR(__xludf.DUMMYFUNCTION("""COMPUTED_VALUE"""),"Complex Variables and Transforms (Laplace &amp; Fourier)")</f>
        <v>Complex Variables and Transforms (Laplace &amp; Fourier)</v>
      </c>
      <c r="H386" s="13">
        <f>IFERROR(__xludf.DUMMYFUNCTION("""COMPUTED_VALUE"""),39.0)</f>
        <v>39</v>
      </c>
      <c r="I386" s="11" t="str">
        <f>IFERROR(__xludf.DUMMYFUNCTION("""COMPUTED_VALUE"""),"[SAMD] Shifat Ahmed")</f>
        <v>[SAMD] Shifat Ahmed</v>
      </c>
      <c r="J386" s="13">
        <f t="shared" si="1"/>
        <v>-1</v>
      </c>
    </row>
    <row r="387">
      <c r="A387" s="11" t="str">
        <f>IFERROR(__xludf.DUMMYFUNCTION("""COMPUTED_VALUE"""),"C")</f>
        <v>C</v>
      </c>
      <c r="B387" s="11" t="str">
        <f>IFERROR(__xludf.DUMMYFUNCTION("""COMPUTED_VALUE"""),"Slot - 15")</f>
        <v>Slot - 15</v>
      </c>
      <c r="C387" s="11" t="str">
        <f>IFERROR(__xludf.DUMMYFUNCTION("""COMPUTED_VALUE"""),"18.04.2026")</f>
        <v>18.04.2026</v>
      </c>
      <c r="D387" s="12">
        <f>IFERROR(__xludf.DUMMYFUNCTION("""COMPUTED_VALUE"""),0.5625)</f>
        <v>0.5625</v>
      </c>
      <c r="E387" s="12">
        <f>IFERROR(__xludf.DUMMYFUNCTION("""COMPUTED_VALUE"""),0.625)</f>
        <v>0.625</v>
      </c>
      <c r="F387" s="11" t="str">
        <f>IFERROR(__xludf.DUMMYFUNCTION("""COMPUTED_VALUE"""),"MAT241.2")</f>
        <v>MAT241.2</v>
      </c>
      <c r="G387" s="11" t="str">
        <f>IFERROR(__xludf.DUMMYFUNCTION("""COMPUTED_VALUE"""),"Complex Variables and Transforms (Laplace &amp; Fourier)")</f>
        <v>Complex Variables and Transforms (Laplace &amp; Fourier)</v>
      </c>
      <c r="H387" s="13">
        <f>IFERROR(__xludf.DUMMYFUNCTION("""COMPUTED_VALUE"""),39.0)</f>
        <v>39</v>
      </c>
      <c r="I387" s="11" t="str">
        <f>IFERROR(__xludf.DUMMYFUNCTION("""COMPUTED_VALUE"""),"[SAMD] Shifat Ahmed")</f>
        <v>[SAMD] Shifat Ahmed</v>
      </c>
      <c r="J387" s="13">
        <f t="shared" si="1"/>
        <v>-1</v>
      </c>
    </row>
    <row r="388">
      <c r="A388" s="11" t="str">
        <f>IFERROR(__xludf.DUMMYFUNCTION("""COMPUTED_VALUE"""),"C")</f>
        <v>C</v>
      </c>
      <c r="B388" s="11" t="str">
        <f>IFERROR(__xludf.DUMMYFUNCTION("""COMPUTED_VALUE"""),"Slot - 15")</f>
        <v>Slot - 15</v>
      </c>
      <c r="C388" s="11" t="str">
        <f>IFERROR(__xludf.DUMMYFUNCTION("""COMPUTED_VALUE"""),"18.04.2026")</f>
        <v>18.04.2026</v>
      </c>
      <c r="D388" s="12">
        <f>IFERROR(__xludf.DUMMYFUNCTION("""COMPUTED_VALUE"""),0.5625)</f>
        <v>0.5625</v>
      </c>
      <c r="E388" s="12">
        <f>IFERROR(__xludf.DUMMYFUNCTION("""COMPUTED_VALUE"""),0.625)</f>
        <v>0.625</v>
      </c>
      <c r="F388" s="11" t="str">
        <f>IFERROR(__xludf.DUMMYFUNCTION("""COMPUTED_VALUE"""),"MAT241.3")</f>
        <v>MAT241.3</v>
      </c>
      <c r="G388" s="11" t="str">
        <f>IFERROR(__xludf.DUMMYFUNCTION("""COMPUTED_VALUE"""),"Complex Variables and Transforms (Laplace &amp; Fourier)")</f>
        <v>Complex Variables and Transforms (Laplace &amp; Fourier)</v>
      </c>
      <c r="H388" s="13">
        <f>IFERROR(__xludf.DUMMYFUNCTION("""COMPUTED_VALUE"""),39.0)</f>
        <v>39</v>
      </c>
      <c r="I388" s="11" t="str">
        <f>IFERROR(__xludf.DUMMYFUNCTION("""COMPUTED_VALUE"""),"[SAMD] Shifat Ahmed")</f>
        <v>[SAMD] Shifat Ahmed</v>
      </c>
      <c r="J388" s="13">
        <f t="shared" si="1"/>
        <v>-1</v>
      </c>
    </row>
    <row r="389">
      <c r="A389" s="11" t="str">
        <f>IFERROR(__xludf.DUMMYFUNCTION("""COMPUTED_VALUE"""),"D")</f>
        <v>D</v>
      </c>
      <c r="B389" s="11" t="str">
        <f>IFERROR(__xludf.DUMMYFUNCTION("""COMPUTED_VALUE"""),"Slot - C")</f>
        <v>Slot - C</v>
      </c>
      <c r="C389" s="11" t="str">
        <f>IFERROR(__xludf.DUMMYFUNCTION("""COMPUTED_VALUE"""),"17.04.2026")</f>
        <v>17.04.2026</v>
      </c>
      <c r="D389" s="12">
        <f>IFERROR(__xludf.DUMMYFUNCTION("""COMPUTED_VALUE"""),0.6041666666678793)</f>
        <v>0.6041666667</v>
      </c>
      <c r="E389" s="12">
        <f>IFERROR(__xludf.DUMMYFUNCTION("""COMPUTED_VALUE"""),0.6666666666678793)</f>
        <v>0.6666666667</v>
      </c>
      <c r="F389" s="11" t="str">
        <f>IFERROR(__xludf.DUMMYFUNCTION("""COMPUTED_VALUE"""),"EEE241.8")</f>
        <v>EEE241.8</v>
      </c>
      <c r="G389" s="11" t="str">
        <f>IFERROR(__xludf.DUMMYFUNCTION("""COMPUTED_VALUE"""),"Electronic Devices &amp; Circuits I")</f>
        <v>Electronic Devices &amp; Circuits I</v>
      </c>
      <c r="H389" s="13">
        <f>IFERROR(__xludf.DUMMYFUNCTION("""COMPUTED_VALUE"""),30.0)</f>
        <v>30</v>
      </c>
      <c r="I389" s="11" t="str">
        <f>IFERROR(__xludf.DUMMYFUNCTION("""COMPUTED_VALUE"""),"[SAMI] Sharika Manjuma Islam")</f>
        <v>[SAMI] Sharika Manjuma Islam</v>
      </c>
      <c r="J389" s="13">
        <f t="shared" si="1"/>
        <v>1</v>
      </c>
    </row>
    <row r="390">
      <c r="A390" s="11" t="str">
        <f>IFERROR(__xludf.DUMMYFUNCTION("""COMPUTED_VALUE"""),"C")</f>
        <v>C</v>
      </c>
      <c r="B390" s="11" t="str">
        <f>IFERROR(__xludf.DUMMYFUNCTION("""COMPUTED_VALUE"""),"Slot - 24")</f>
        <v>Slot - 24</v>
      </c>
      <c r="C390" s="11" t="str">
        <f>IFERROR(__xludf.DUMMYFUNCTION("""COMPUTED_VALUE"""),"21.04.2026")</f>
        <v>21.04.2026</v>
      </c>
      <c r="D390" s="12">
        <f>IFERROR(__xludf.DUMMYFUNCTION("""COMPUTED_VALUE"""),0.6041666666678793)</f>
        <v>0.6041666667</v>
      </c>
      <c r="E390" s="12">
        <f>IFERROR(__xludf.DUMMYFUNCTION("""COMPUTED_VALUE"""),0.6666666666678793)</f>
        <v>0.6666666667</v>
      </c>
      <c r="F390" s="11" t="str">
        <f>IFERROR(__xludf.DUMMYFUNCTION("""COMPUTED_VALUE"""),"ECO461.8")</f>
        <v>ECO461.8</v>
      </c>
      <c r="G390" s="11" t="str">
        <f>IFERROR(__xludf.DUMMYFUNCTION("""COMPUTED_VALUE"""),"Introduction to Economics")</f>
        <v>Introduction to Economics</v>
      </c>
      <c r="H390" s="13">
        <f>IFERROR(__xludf.DUMMYFUNCTION("""COMPUTED_VALUE"""),42.0)</f>
        <v>42</v>
      </c>
      <c r="I390" s="11" t="str">
        <f>IFERROR(__xludf.DUMMYFUNCTION("""COMPUTED_VALUE"""),"[SAZ] Sazeda Akter")</f>
        <v>[SAZ] Sazeda Akter</v>
      </c>
      <c r="J390" s="13">
        <f t="shared" si="1"/>
        <v>-1</v>
      </c>
    </row>
    <row r="391">
      <c r="A391" s="11" t="str">
        <f>IFERROR(__xludf.DUMMYFUNCTION("""COMPUTED_VALUE"""),"C")</f>
        <v>C</v>
      </c>
      <c r="B391" s="11" t="str">
        <f>IFERROR(__xludf.DUMMYFUNCTION("""COMPUTED_VALUE"""),"Slot - 03")</f>
        <v>Slot - 03</v>
      </c>
      <c r="C391" s="11" t="str">
        <f>IFERROR(__xludf.DUMMYFUNCTION("""COMPUTED_VALUE"""),"12.04.2026")</f>
        <v>12.04.2026</v>
      </c>
      <c r="D391" s="12">
        <f>IFERROR(__xludf.DUMMYFUNCTION("""COMPUTED_VALUE"""),0.6041666666678793)</f>
        <v>0.6041666667</v>
      </c>
      <c r="E391" s="12">
        <f>IFERROR(__xludf.DUMMYFUNCTION("""COMPUTED_VALUE"""),0.6666666666678793)</f>
        <v>0.6666666667</v>
      </c>
      <c r="F391" s="11" t="str">
        <f>IFERROR(__xludf.DUMMYFUNCTION("""COMPUTED_VALUE"""),"STA281.10")</f>
        <v>STA281.10</v>
      </c>
      <c r="G391" s="11" t="str">
        <f>IFERROR(__xludf.DUMMYFUNCTION("""COMPUTED_VALUE"""),"Statistical Methods &amp; Probability")</f>
        <v>Statistical Methods &amp; Probability</v>
      </c>
      <c r="H391" s="13">
        <f>IFERROR(__xludf.DUMMYFUNCTION("""COMPUTED_VALUE"""),38.0)</f>
        <v>38</v>
      </c>
      <c r="I391" s="11" t="str">
        <f>IFERROR(__xludf.DUMMYFUNCTION("""COMPUTED_VALUE"""),"[SBB] Md. Shohel Babu")</f>
        <v>[SBB] Md. Shohel Babu</v>
      </c>
      <c r="J391" s="13">
        <f t="shared" si="1"/>
        <v>1</v>
      </c>
    </row>
    <row r="392">
      <c r="A392" s="11" t="str">
        <f>IFERROR(__xludf.DUMMYFUNCTION("""COMPUTED_VALUE"""),"C")</f>
        <v>C</v>
      </c>
      <c r="B392" s="11" t="str">
        <f>IFERROR(__xludf.DUMMYFUNCTION("""COMPUTED_VALUE"""),"Slot - 03")</f>
        <v>Slot - 03</v>
      </c>
      <c r="C392" s="11" t="str">
        <f>IFERROR(__xludf.DUMMYFUNCTION("""COMPUTED_VALUE"""),"12.04.2026")</f>
        <v>12.04.2026</v>
      </c>
      <c r="D392" s="12">
        <f>IFERROR(__xludf.DUMMYFUNCTION("""COMPUTED_VALUE"""),0.6041666666678793)</f>
        <v>0.6041666667</v>
      </c>
      <c r="E392" s="12">
        <f>IFERROR(__xludf.DUMMYFUNCTION("""COMPUTED_VALUE"""),0.6666666666678793)</f>
        <v>0.6666666667</v>
      </c>
      <c r="F392" s="11" t="str">
        <f>IFERROR(__xludf.DUMMYFUNCTION("""COMPUTED_VALUE"""),"STA281.11")</f>
        <v>STA281.11</v>
      </c>
      <c r="G392" s="11" t="str">
        <f>IFERROR(__xludf.DUMMYFUNCTION("""COMPUTED_VALUE"""),"Statistical Methods &amp; Probability")</f>
        <v>Statistical Methods &amp; Probability</v>
      </c>
      <c r="H392" s="13">
        <f>IFERROR(__xludf.DUMMYFUNCTION("""COMPUTED_VALUE"""),40.0)</f>
        <v>40</v>
      </c>
      <c r="I392" s="11" t="str">
        <f>IFERROR(__xludf.DUMMYFUNCTION("""COMPUTED_VALUE"""),"[SBB] Md. Shohel Babu")</f>
        <v>[SBB] Md. Shohel Babu</v>
      </c>
      <c r="J392" s="13">
        <f t="shared" si="1"/>
        <v>1</v>
      </c>
    </row>
    <row r="393">
      <c r="A393" s="11" t="str">
        <f>IFERROR(__xludf.DUMMYFUNCTION("""COMPUTED_VALUE"""),"C")</f>
        <v>C</v>
      </c>
      <c r="B393" s="11" t="str">
        <f>IFERROR(__xludf.DUMMYFUNCTION("""COMPUTED_VALUE"""),"Slot - 15")</f>
        <v>Slot - 15</v>
      </c>
      <c r="C393" s="11" t="str">
        <f>IFERROR(__xludf.DUMMYFUNCTION("""COMPUTED_VALUE"""),"18.04.2026")</f>
        <v>18.04.2026</v>
      </c>
      <c r="D393" s="12">
        <f>IFERROR(__xludf.DUMMYFUNCTION("""COMPUTED_VALUE"""),0.5625)</f>
        <v>0.5625</v>
      </c>
      <c r="E393" s="12">
        <f>IFERROR(__xludf.DUMMYFUNCTION("""COMPUTED_VALUE"""),0.625)</f>
        <v>0.625</v>
      </c>
      <c r="F393" s="11" t="str">
        <f>IFERROR(__xludf.DUMMYFUNCTION("""COMPUTED_VALUE"""),"MAT261.1")</f>
        <v>MAT261.1</v>
      </c>
      <c r="G393" s="11" t="str">
        <f>IFERROR(__xludf.DUMMYFUNCTION("""COMPUTED_VALUE"""),"Linear Algebra and Matrices")</f>
        <v>Linear Algebra and Matrices</v>
      </c>
      <c r="H393" s="13">
        <f>IFERROR(__xludf.DUMMYFUNCTION("""COMPUTED_VALUE"""),38.0)</f>
        <v>38</v>
      </c>
      <c r="I393" s="11" t="str">
        <f>IFERROR(__xludf.DUMMYFUNCTION("""COMPUTED_VALUE"""),"[SBB] Md. Shohel Babu")</f>
        <v>[SBB] Md. Shohel Babu</v>
      </c>
      <c r="J393" s="13">
        <f t="shared" si="1"/>
        <v>1</v>
      </c>
    </row>
    <row r="394">
      <c r="A394" s="11" t="str">
        <f>IFERROR(__xludf.DUMMYFUNCTION("""COMPUTED_VALUE"""),"C")</f>
        <v>C</v>
      </c>
      <c r="B394" s="11" t="str">
        <f>IFERROR(__xludf.DUMMYFUNCTION("""COMPUTED_VALUE"""),"Slot - 15")</f>
        <v>Slot - 15</v>
      </c>
      <c r="C394" s="11" t="str">
        <f>IFERROR(__xludf.DUMMYFUNCTION("""COMPUTED_VALUE"""),"18.04.2026")</f>
        <v>18.04.2026</v>
      </c>
      <c r="D394" s="12">
        <f>IFERROR(__xludf.DUMMYFUNCTION("""COMPUTED_VALUE"""),0.5625)</f>
        <v>0.5625</v>
      </c>
      <c r="E394" s="12">
        <f>IFERROR(__xludf.DUMMYFUNCTION("""COMPUTED_VALUE"""),0.625)</f>
        <v>0.625</v>
      </c>
      <c r="F394" s="11" t="str">
        <f>IFERROR(__xludf.DUMMYFUNCTION("""COMPUTED_VALUE"""),"MAT261.2")</f>
        <v>MAT261.2</v>
      </c>
      <c r="G394" s="11" t="str">
        <f>IFERROR(__xludf.DUMMYFUNCTION("""COMPUTED_VALUE"""),"Linear Algebra and Matrices")</f>
        <v>Linear Algebra and Matrices</v>
      </c>
      <c r="H394" s="13">
        <f>IFERROR(__xludf.DUMMYFUNCTION("""COMPUTED_VALUE"""),38.0)</f>
        <v>38</v>
      </c>
      <c r="I394" s="11" t="str">
        <f>IFERROR(__xludf.DUMMYFUNCTION("""COMPUTED_VALUE"""),"[SBB] Md. Shohel Babu")</f>
        <v>[SBB] Md. Shohel Babu</v>
      </c>
      <c r="J394" s="13">
        <f t="shared" si="1"/>
        <v>1</v>
      </c>
    </row>
    <row r="395">
      <c r="A395" s="11" t="str">
        <f>IFERROR(__xludf.DUMMYFUNCTION("""COMPUTED_VALUE"""),"C")</f>
        <v>C</v>
      </c>
      <c r="B395" s="11" t="str">
        <f>IFERROR(__xludf.DUMMYFUNCTION("""COMPUTED_VALUE"""),"Slot - 15")</f>
        <v>Slot - 15</v>
      </c>
      <c r="C395" s="11" t="str">
        <f>IFERROR(__xludf.DUMMYFUNCTION("""COMPUTED_VALUE"""),"18.04.2026")</f>
        <v>18.04.2026</v>
      </c>
      <c r="D395" s="12">
        <f>IFERROR(__xludf.DUMMYFUNCTION("""COMPUTED_VALUE"""),0.5625)</f>
        <v>0.5625</v>
      </c>
      <c r="E395" s="12">
        <f>IFERROR(__xludf.DUMMYFUNCTION("""COMPUTED_VALUE"""),0.625)</f>
        <v>0.625</v>
      </c>
      <c r="F395" s="11" t="str">
        <f>IFERROR(__xludf.DUMMYFUNCTION("""COMPUTED_VALUE"""),"MAT261.3")</f>
        <v>MAT261.3</v>
      </c>
      <c r="G395" s="11" t="str">
        <f>IFERROR(__xludf.DUMMYFUNCTION("""COMPUTED_VALUE"""),"Linear Algebra and Matrices")</f>
        <v>Linear Algebra and Matrices</v>
      </c>
      <c r="H395" s="13">
        <f>IFERROR(__xludf.DUMMYFUNCTION("""COMPUTED_VALUE"""),38.0)</f>
        <v>38</v>
      </c>
      <c r="I395" s="11" t="str">
        <f>IFERROR(__xludf.DUMMYFUNCTION("""COMPUTED_VALUE"""),"[SBB] Md. Shohel Babu")</f>
        <v>[SBB] Md. Shohel Babu</v>
      </c>
      <c r="J395" s="13">
        <f t="shared" si="1"/>
        <v>1</v>
      </c>
    </row>
    <row r="396">
      <c r="A396" s="11" t="str">
        <f>IFERROR(__xludf.DUMMYFUNCTION("""COMPUTED_VALUE"""),"C")</f>
        <v>C</v>
      </c>
      <c r="B396" s="11" t="str">
        <f>IFERROR(__xludf.DUMMYFUNCTION("""COMPUTED_VALUE"""),"Slot - 03")</f>
        <v>Slot - 03</v>
      </c>
      <c r="C396" s="11" t="str">
        <f>IFERROR(__xludf.DUMMYFUNCTION("""COMPUTED_VALUE"""),"12.04.2026")</f>
        <v>12.04.2026</v>
      </c>
      <c r="D396" s="12">
        <f>IFERROR(__xludf.DUMMYFUNCTION("""COMPUTED_VALUE"""),0.6041666666678793)</f>
        <v>0.6041666667</v>
      </c>
      <c r="E396" s="12">
        <f>IFERROR(__xludf.DUMMYFUNCTION("""COMPUTED_VALUE"""),0.6666666666678793)</f>
        <v>0.6666666667</v>
      </c>
      <c r="F396" s="11" t="str">
        <f>IFERROR(__xludf.DUMMYFUNCTION("""COMPUTED_VALUE"""),"CSE345.1")</f>
        <v>CSE345.1</v>
      </c>
      <c r="G396" s="11" t="str">
        <f>IFERROR(__xludf.DUMMYFUNCTION("""COMPUTED_VALUE"""),"Information System Design &amp; Software Engineering")</f>
        <v>Information System Design &amp; Software Engineering</v>
      </c>
      <c r="H396" s="13">
        <f>IFERROR(__xludf.DUMMYFUNCTION("""COMPUTED_VALUE"""),42.0)</f>
        <v>42</v>
      </c>
      <c r="I396" s="11" t="str">
        <f>IFERROR(__xludf.DUMMYFUNCTION("""COMPUTED_VALUE"""),"[SDK] Shimul Dey Katha")</f>
        <v>[SDK] Shimul Dey Katha</v>
      </c>
      <c r="J396" s="13">
        <f t="shared" si="1"/>
        <v>-1</v>
      </c>
    </row>
    <row r="397">
      <c r="A397" s="11" t="str">
        <f>IFERROR(__xludf.DUMMYFUNCTION("""COMPUTED_VALUE"""),"C")</f>
        <v>C</v>
      </c>
      <c r="B397" s="11" t="str">
        <f>IFERROR(__xludf.DUMMYFUNCTION("""COMPUTED_VALUE"""),"Slot - 03")</f>
        <v>Slot - 03</v>
      </c>
      <c r="C397" s="11" t="str">
        <f>IFERROR(__xludf.DUMMYFUNCTION("""COMPUTED_VALUE"""),"12.04.2026")</f>
        <v>12.04.2026</v>
      </c>
      <c r="D397" s="12">
        <f>IFERROR(__xludf.DUMMYFUNCTION("""COMPUTED_VALUE"""),0.6041666666678793)</f>
        <v>0.6041666667</v>
      </c>
      <c r="E397" s="12">
        <f>IFERROR(__xludf.DUMMYFUNCTION("""COMPUTED_VALUE"""),0.6666666666678793)</f>
        <v>0.6666666667</v>
      </c>
      <c r="F397" s="11" t="str">
        <f>IFERROR(__xludf.DUMMYFUNCTION("""COMPUTED_VALUE"""),"CSE345.2")</f>
        <v>CSE345.2</v>
      </c>
      <c r="G397" s="11" t="str">
        <f>IFERROR(__xludf.DUMMYFUNCTION("""COMPUTED_VALUE"""),"Information System Design &amp; Software Engineering")</f>
        <v>Information System Design &amp; Software Engineering</v>
      </c>
      <c r="H397" s="13">
        <f>IFERROR(__xludf.DUMMYFUNCTION("""COMPUTED_VALUE"""),42.0)</f>
        <v>42</v>
      </c>
      <c r="I397" s="11" t="str">
        <f>IFERROR(__xludf.DUMMYFUNCTION("""COMPUTED_VALUE"""),"[SDK] Shimul Dey Katha")</f>
        <v>[SDK] Shimul Dey Katha</v>
      </c>
      <c r="J397" s="13">
        <f t="shared" si="1"/>
        <v>-1</v>
      </c>
    </row>
    <row r="398">
      <c r="A398" s="11" t="str">
        <f>IFERROR(__xludf.DUMMYFUNCTION("""COMPUTED_VALUE"""),"C")</f>
        <v>C</v>
      </c>
      <c r="B398" s="11" t="str">
        <f>IFERROR(__xludf.DUMMYFUNCTION("""COMPUTED_VALUE"""),"Slot - 23")</f>
        <v>Slot - 23</v>
      </c>
      <c r="C398" s="11" t="str">
        <f>IFERROR(__xludf.DUMMYFUNCTION("""COMPUTED_VALUE"""),"21.04.2026")</f>
        <v>21.04.2026</v>
      </c>
      <c r="D398" s="12">
        <f>IFERROR(__xludf.DUMMYFUNCTION("""COMPUTED_VALUE"""),0.4791666666678793)</f>
        <v>0.4791666667</v>
      </c>
      <c r="E398" s="12">
        <f>IFERROR(__xludf.DUMMYFUNCTION("""COMPUTED_VALUE"""),0.5416666666678793)</f>
        <v>0.5416666667</v>
      </c>
      <c r="F398" s="11" t="str">
        <f>IFERROR(__xludf.DUMMYFUNCTION("""COMPUTED_VALUE"""),"CSE265.1")</f>
        <v>CSE265.1</v>
      </c>
      <c r="G398" s="11" t="str">
        <f>IFERROR(__xludf.DUMMYFUNCTION("""COMPUTED_VALUE"""),"Algorithm")</f>
        <v>Algorithm</v>
      </c>
      <c r="H398" s="13">
        <f>IFERROR(__xludf.DUMMYFUNCTION("""COMPUTED_VALUE"""),38.0)</f>
        <v>38</v>
      </c>
      <c r="I398" s="11" t="str">
        <f>IFERROR(__xludf.DUMMYFUNCTION("""COMPUTED_VALUE"""),"[SDK] Shimul Dey Katha")</f>
        <v>[SDK] Shimul Dey Katha</v>
      </c>
      <c r="J398" s="13">
        <f t="shared" si="1"/>
        <v>-1</v>
      </c>
    </row>
    <row r="399">
      <c r="A399" s="11" t="str">
        <f>IFERROR(__xludf.DUMMYFUNCTION("""COMPUTED_VALUE"""),"C")</f>
        <v>C</v>
      </c>
      <c r="B399" s="11" t="str">
        <f>IFERROR(__xludf.DUMMYFUNCTION("""COMPUTED_VALUE"""),"Slot - 23")</f>
        <v>Slot - 23</v>
      </c>
      <c r="C399" s="11" t="str">
        <f>IFERROR(__xludf.DUMMYFUNCTION("""COMPUTED_VALUE"""),"21.04.2026")</f>
        <v>21.04.2026</v>
      </c>
      <c r="D399" s="12">
        <f>IFERROR(__xludf.DUMMYFUNCTION("""COMPUTED_VALUE"""),0.4791666666678793)</f>
        <v>0.4791666667</v>
      </c>
      <c r="E399" s="12">
        <f>IFERROR(__xludf.DUMMYFUNCTION("""COMPUTED_VALUE"""),0.5416666666678793)</f>
        <v>0.5416666667</v>
      </c>
      <c r="F399" s="11" t="str">
        <f>IFERROR(__xludf.DUMMYFUNCTION("""COMPUTED_VALUE"""),"CSE265.2")</f>
        <v>CSE265.2</v>
      </c>
      <c r="G399" s="11" t="str">
        <f>IFERROR(__xludf.DUMMYFUNCTION("""COMPUTED_VALUE"""),"Algorithm")</f>
        <v>Algorithm</v>
      </c>
      <c r="H399" s="13">
        <f>IFERROR(__xludf.DUMMYFUNCTION("""COMPUTED_VALUE"""),38.0)</f>
        <v>38</v>
      </c>
      <c r="I399" s="11" t="str">
        <f>IFERROR(__xludf.DUMMYFUNCTION("""COMPUTED_VALUE"""),"[SDK] Shimul Dey Katha")</f>
        <v>[SDK] Shimul Dey Katha</v>
      </c>
      <c r="J399" s="13">
        <f t="shared" si="1"/>
        <v>-1</v>
      </c>
    </row>
    <row r="400">
      <c r="A400" s="11" t="str">
        <f>IFERROR(__xludf.DUMMYFUNCTION("""COMPUTED_VALUE"""),"C")</f>
        <v>C</v>
      </c>
      <c r="B400" s="11" t="str">
        <f>IFERROR(__xludf.DUMMYFUNCTION("""COMPUTED_VALUE"""),"Slot - 12")</f>
        <v>Slot - 12</v>
      </c>
      <c r="C400" s="11" t="str">
        <f>IFERROR(__xludf.DUMMYFUNCTION("""COMPUTED_VALUE"""),"16.04.2026")</f>
        <v>16.04.2026</v>
      </c>
      <c r="D400" s="12">
        <f>IFERROR(__xludf.DUMMYFUNCTION("""COMPUTED_VALUE"""),0.6041666666678793)</f>
        <v>0.6041666667</v>
      </c>
      <c r="E400" s="12">
        <f>IFERROR(__xludf.DUMMYFUNCTION("""COMPUTED_VALUE"""),0.6666666666678793)</f>
        <v>0.6666666667</v>
      </c>
      <c r="F400" s="11" t="str">
        <f>IFERROR(__xludf.DUMMYFUNCTION("""COMPUTED_VALUE"""),"CSE343.6")</f>
        <v>CSE343.6</v>
      </c>
      <c r="G400" s="11" t="str">
        <f>IFERROR(__xludf.DUMMYFUNCTION("""COMPUTED_VALUE"""),"Computer Architecture")</f>
        <v>Computer Architecture</v>
      </c>
      <c r="H400" s="13">
        <f>IFERROR(__xludf.DUMMYFUNCTION("""COMPUTED_VALUE"""),41.0)</f>
        <v>41</v>
      </c>
      <c r="I400" s="11" t="str">
        <f>IFERROR(__xludf.DUMMYFUNCTION("""COMPUTED_VALUE"""),"[SHAP] Shahriar Parvej")</f>
        <v>[SHAP] Shahriar Parvej</v>
      </c>
      <c r="J400" s="13">
        <f t="shared" si="1"/>
        <v>1</v>
      </c>
    </row>
    <row r="401">
      <c r="A401" s="11" t="str">
        <f>IFERROR(__xludf.DUMMYFUNCTION("""COMPUTED_VALUE"""),"C")</f>
        <v>C</v>
      </c>
      <c r="B401" s="11" t="str">
        <f>IFERROR(__xludf.DUMMYFUNCTION("""COMPUTED_VALUE"""),"Slot - 12")</f>
        <v>Slot - 12</v>
      </c>
      <c r="C401" s="11" t="str">
        <f>IFERROR(__xludf.DUMMYFUNCTION("""COMPUTED_VALUE"""),"16.04.2026")</f>
        <v>16.04.2026</v>
      </c>
      <c r="D401" s="12">
        <f>IFERROR(__xludf.DUMMYFUNCTION("""COMPUTED_VALUE"""),0.6041666666678793)</f>
        <v>0.6041666667</v>
      </c>
      <c r="E401" s="12">
        <f>IFERROR(__xludf.DUMMYFUNCTION("""COMPUTED_VALUE"""),0.6666666666678793)</f>
        <v>0.6666666667</v>
      </c>
      <c r="F401" s="11" t="str">
        <f>IFERROR(__xludf.DUMMYFUNCTION("""COMPUTED_VALUE"""),"CSE343.7")</f>
        <v>CSE343.7</v>
      </c>
      <c r="G401" s="11" t="str">
        <f>IFERROR(__xludf.DUMMYFUNCTION("""COMPUTED_VALUE"""),"Computer Architecture")</f>
        <v>Computer Architecture</v>
      </c>
      <c r="H401" s="13">
        <f>IFERROR(__xludf.DUMMYFUNCTION("""COMPUTED_VALUE"""),40.0)</f>
        <v>40</v>
      </c>
      <c r="I401" s="11" t="str">
        <f>IFERROR(__xludf.DUMMYFUNCTION("""COMPUTED_VALUE"""),"[SHAP] Shahriar Parvej")</f>
        <v>[SHAP] Shahriar Parvej</v>
      </c>
      <c r="J401" s="13">
        <f t="shared" si="1"/>
        <v>1</v>
      </c>
    </row>
    <row r="402">
      <c r="A402" s="11" t="str">
        <f>IFERROR(__xludf.DUMMYFUNCTION("""COMPUTED_VALUE"""),"D")</f>
        <v>D</v>
      </c>
      <c r="B402" s="11" t="str">
        <f>IFERROR(__xludf.DUMMYFUNCTION("""COMPUTED_VALUE"""),"Slot - O")</f>
        <v>Slot - O</v>
      </c>
      <c r="C402" s="11" t="str">
        <f>IFERROR(__xludf.DUMMYFUNCTION("""COMPUTED_VALUE"""),"25.04.2026")</f>
        <v>25.04.2026</v>
      </c>
      <c r="D402" s="12">
        <f>IFERROR(__xludf.DUMMYFUNCTION("""COMPUTED_VALUE"""),0.7916666666678793)</f>
        <v>0.7916666667</v>
      </c>
      <c r="E402" s="12">
        <f>IFERROR(__xludf.DUMMYFUNCTION("""COMPUTED_VALUE"""),0.8541666666678793)</f>
        <v>0.8541666667</v>
      </c>
      <c r="F402" s="11" t="str">
        <f>IFERROR(__xludf.DUMMYFUNCTION("""COMPUTED_VALUE"""),"CSE343.11")</f>
        <v>CSE343.11</v>
      </c>
      <c r="G402" s="11" t="str">
        <f>IFERROR(__xludf.DUMMYFUNCTION("""COMPUTED_VALUE"""),"Computer Architecture")</f>
        <v>Computer Architecture</v>
      </c>
      <c r="H402" s="13">
        <f>IFERROR(__xludf.DUMMYFUNCTION("""COMPUTED_VALUE"""),35.0)</f>
        <v>35</v>
      </c>
      <c r="I402" s="11" t="str">
        <f>IFERROR(__xludf.DUMMYFUNCTION("""COMPUTED_VALUE"""),"[SHAP] Shahriar Parvej")</f>
        <v>[SHAP] Shahriar Parvej</v>
      </c>
      <c r="J402" s="13">
        <f t="shared" si="1"/>
        <v>1</v>
      </c>
    </row>
    <row r="403">
      <c r="A403" s="11" t="str">
        <f>IFERROR(__xludf.DUMMYFUNCTION("""COMPUTED_VALUE"""),"C")</f>
        <v>C</v>
      </c>
      <c r="B403" s="11" t="str">
        <f>IFERROR(__xludf.DUMMYFUNCTION("""COMPUTED_VALUE"""),"Slot - 08")</f>
        <v>Slot - 08</v>
      </c>
      <c r="C403" s="11" t="str">
        <f>IFERROR(__xludf.DUMMYFUNCTION("""COMPUTED_VALUE"""),"15.04.2026")</f>
        <v>15.04.2026</v>
      </c>
      <c r="D403" s="12">
        <f>IFERROR(__xludf.DUMMYFUNCTION("""COMPUTED_VALUE"""),0.4791666666678793)</f>
        <v>0.4791666667</v>
      </c>
      <c r="E403" s="12">
        <f>IFERROR(__xludf.DUMMYFUNCTION("""COMPUTED_VALUE"""),0.5416666666678793)</f>
        <v>0.5416666667</v>
      </c>
      <c r="F403" s="11" t="str">
        <f>IFERROR(__xludf.DUMMYFUNCTION("""COMPUTED_VALUE"""),"CSE361.3")</f>
        <v>CSE361.3</v>
      </c>
      <c r="G403" s="11" t="str">
        <f>IFERROR(__xludf.DUMMYFUNCTION("""COMPUTED_VALUE"""),"Operating Systems")</f>
        <v>Operating Systems</v>
      </c>
      <c r="H403" s="13">
        <f>IFERROR(__xludf.DUMMYFUNCTION("""COMPUTED_VALUE"""),41.0)</f>
        <v>41</v>
      </c>
      <c r="I403" s="11" t="str">
        <f>IFERROR(__xludf.DUMMYFUNCTION("""COMPUTED_VALUE"""),"[SHKU] Shujoy Kundu")</f>
        <v>[SHKU] Shujoy Kundu</v>
      </c>
      <c r="J403" s="13">
        <f t="shared" si="1"/>
        <v>-1</v>
      </c>
    </row>
    <row r="404">
      <c r="A404" s="11" t="str">
        <f>IFERROR(__xludf.DUMMYFUNCTION("""COMPUTED_VALUE"""),"C")</f>
        <v>C</v>
      </c>
      <c r="B404" s="11" t="str">
        <f>IFERROR(__xludf.DUMMYFUNCTION("""COMPUTED_VALUE"""),"Slot - 08")</f>
        <v>Slot - 08</v>
      </c>
      <c r="C404" s="11" t="str">
        <f>IFERROR(__xludf.DUMMYFUNCTION("""COMPUTED_VALUE"""),"15.04.2026")</f>
        <v>15.04.2026</v>
      </c>
      <c r="D404" s="12">
        <f>IFERROR(__xludf.DUMMYFUNCTION("""COMPUTED_VALUE"""),0.4791666666678793)</f>
        <v>0.4791666667</v>
      </c>
      <c r="E404" s="12">
        <f>IFERROR(__xludf.DUMMYFUNCTION("""COMPUTED_VALUE"""),0.5416666666678793)</f>
        <v>0.5416666667</v>
      </c>
      <c r="F404" s="11" t="str">
        <f>IFERROR(__xludf.DUMMYFUNCTION("""COMPUTED_VALUE"""),"CSE361.4")</f>
        <v>CSE361.4</v>
      </c>
      <c r="G404" s="11" t="str">
        <f>IFERROR(__xludf.DUMMYFUNCTION("""COMPUTED_VALUE"""),"Operating Systems")</f>
        <v>Operating Systems</v>
      </c>
      <c r="H404" s="13">
        <f>IFERROR(__xludf.DUMMYFUNCTION("""COMPUTED_VALUE"""),39.0)</f>
        <v>39</v>
      </c>
      <c r="I404" s="11" t="str">
        <f>IFERROR(__xludf.DUMMYFUNCTION("""COMPUTED_VALUE"""),"[SHKU] Shujoy Kundu")</f>
        <v>[SHKU] Shujoy Kundu</v>
      </c>
      <c r="J404" s="13">
        <f t="shared" si="1"/>
        <v>-1</v>
      </c>
    </row>
    <row r="405">
      <c r="A405" s="11" t="str">
        <f>IFERROR(__xludf.DUMMYFUNCTION("""COMPUTED_VALUE"""),"C")</f>
        <v>C</v>
      </c>
      <c r="B405" s="11" t="str">
        <f>IFERROR(__xludf.DUMMYFUNCTION("""COMPUTED_VALUE"""),"Slot - 08")</f>
        <v>Slot - 08</v>
      </c>
      <c r="C405" s="11" t="str">
        <f>IFERROR(__xludf.DUMMYFUNCTION("""COMPUTED_VALUE"""),"15.04.2026")</f>
        <v>15.04.2026</v>
      </c>
      <c r="D405" s="12">
        <f>IFERROR(__xludf.DUMMYFUNCTION("""COMPUTED_VALUE"""),0.4791666666678793)</f>
        <v>0.4791666667</v>
      </c>
      <c r="E405" s="12">
        <f>IFERROR(__xludf.DUMMYFUNCTION("""COMPUTED_VALUE"""),0.5416666666678793)</f>
        <v>0.5416666667</v>
      </c>
      <c r="F405" s="11" t="str">
        <f>IFERROR(__xludf.DUMMYFUNCTION("""COMPUTED_VALUE"""),"CSE363.5")</f>
        <v>CSE363.5</v>
      </c>
      <c r="G405" s="11" t="str">
        <f>IFERROR(__xludf.DUMMYFUNCTION("""COMPUTED_VALUE"""),"Microprocessor Design &amp; Assembly Language Programming")</f>
        <v>Microprocessor Design &amp; Assembly Language Programming</v>
      </c>
      <c r="H405" s="13">
        <f>IFERROR(__xludf.DUMMYFUNCTION("""COMPUTED_VALUE"""),39.0)</f>
        <v>39</v>
      </c>
      <c r="I405" s="11" t="str">
        <f>IFERROR(__xludf.DUMMYFUNCTION("""COMPUTED_VALUE"""),"[SHKU] Shujoy Kundu")</f>
        <v>[SHKU] Shujoy Kundu</v>
      </c>
      <c r="J405" s="13">
        <f t="shared" si="1"/>
        <v>-1</v>
      </c>
    </row>
    <row r="406">
      <c r="A406" s="11" t="str">
        <f>IFERROR(__xludf.DUMMYFUNCTION("""COMPUTED_VALUE"""),"C")</f>
        <v>C</v>
      </c>
      <c r="B406" s="11" t="str">
        <f>IFERROR(__xludf.DUMMYFUNCTION("""COMPUTED_VALUE"""),"Slot - 04")</f>
        <v>Slot - 04</v>
      </c>
      <c r="C406" s="11" t="str">
        <f>IFERROR(__xludf.DUMMYFUNCTION("""COMPUTED_VALUE"""),"13.04.2026")</f>
        <v>13.04.2026</v>
      </c>
      <c r="D406" s="12">
        <f>IFERROR(__xludf.DUMMYFUNCTION("""COMPUTED_VALUE"""),0.3541666666678793)</f>
        <v>0.3541666667</v>
      </c>
      <c r="E406" s="12">
        <f>IFERROR(__xludf.DUMMYFUNCTION("""COMPUTED_VALUE"""),0.4166666666678793)</f>
        <v>0.4166666667</v>
      </c>
      <c r="F406" s="11" t="str">
        <f>IFERROR(__xludf.DUMMYFUNCTION("""COMPUTED_VALUE"""),"CSE353.3")</f>
        <v>CSE353.3</v>
      </c>
      <c r="G406" s="11" t="str">
        <f>IFERROR(__xludf.DUMMYFUNCTION("""COMPUTED_VALUE"""),"Introduction to Data Mining")</f>
        <v>Introduction to Data Mining</v>
      </c>
      <c r="H406" s="13">
        <f>IFERROR(__xludf.DUMMYFUNCTION("""COMPUTED_VALUE"""),40.0)</f>
        <v>40</v>
      </c>
      <c r="I406" s="11" t="str">
        <f>IFERROR(__xludf.DUMMYFUNCTION("""COMPUTED_VALUE"""),"[SHM] Md. Shamim")</f>
        <v>[SHM] Md. Shamim</v>
      </c>
      <c r="J406" s="13">
        <f t="shared" si="1"/>
        <v>1</v>
      </c>
    </row>
    <row r="407">
      <c r="A407" s="11" t="str">
        <f>IFERROR(__xludf.DUMMYFUNCTION("""COMPUTED_VALUE"""),"C")</f>
        <v>C</v>
      </c>
      <c r="B407" s="11" t="str">
        <f>IFERROR(__xludf.DUMMYFUNCTION("""COMPUTED_VALUE"""),"Slot - 05")</f>
        <v>Slot - 05</v>
      </c>
      <c r="C407" s="11" t="str">
        <f>IFERROR(__xludf.DUMMYFUNCTION("""COMPUTED_VALUE"""),"13.04.2026")</f>
        <v>13.04.2026</v>
      </c>
      <c r="D407" s="12">
        <f>IFERROR(__xludf.DUMMYFUNCTION("""COMPUTED_VALUE"""),0.4791666666678793)</f>
        <v>0.4791666667</v>
      </c>
      <c r="E407" s="12">
        <f>IFERROR(__xludf.DUMMYFUNCTION("""COMPUTED_VALUE"""),0.5416666666678793)</f>
        <v>0.5416666667</v>
      </c>
      <c r="F407" s="11" t="str">
        <f>IFERROR(__xludf.DUMMYFUNCTION("""COMPUTED_VALUE"""),"CSE265.6")</f>
        <v>CSE265.6</v>
      </c>
      <c r="G407" s="11" t="str">
        <f>IFERROR(__xludf.DUMMYFUNCTION("""COMPUTED_VALUE"""),"Algorithm")</f>
        <v>Algorithm</v>
      </c>
      <c r="H407" s="13">
        <f>IFERROR(__xludf.DUMMYFUNCTION("""COMPUTED_VALUE"""),39.0)</f>
        <v>39</v>
      </c>
      <c r="I407" s="11" t="str">
        <f>IFERROR(__xludf.DUMMYFUNCTION("""COMPUTED_VALUE"""),"[SHM] Md. Shamim")</f>
        <v>[SHM] Md. Shamim</v>
      </c>
      <c r="J407" s="13">
        <f t="shared" si="1"/>
        <v>1</v>
      </c>
    </row>
    <row r="408">
      <c r="A408" s="11" t="str">
        <f>IFERROR(__xludf.DUMMYFUNCTION("""COMPUTED_VALUE"""),"C")</f>
        <v>C</v>
      </c>
      <c r="B408" s="11" t="str">
        <f>IFERROR(__xludf.DUMMYFUNCTION("""COMPUTED_VALUE"""),"Slot - 05")</f>
        <v>Slot - 05</v>
      </c>
      <c r="C408" s="11" t="str">
        <f>IFERROR(__xludf.DUMMYFUNCTION("""COMPUTED_VALUE"""),"13.04.2026")</f>
        <v>13.04.2026</v>
      </c>
      <c r="D408" s="12">
        <f>IFERROR(__xludf.DUMMYFUNCTION("""COMPUTED_VALUE"""),0.4791666666678793)</f>
        <v>0.4791666667</v>
      </c>
      <c r="E408" s="12">
        <f>IFERROR(__xludf.DUMMYFUNCTION("""COMPUTED_VALUE"""),0.5416666666678793)</f>
        <v>0.5416666667</v>
      </c>
      <c r="F408" s="11" t="str">
        <f>IFERROR(__xludf.DUMMYFUNCTION("""COMPUTED_VALUE"""),"CSE265.7")</f>
        <v>CSE265.7</v>
      </c>
      <c r="G408" s="11" t="str">
        <f>IFERROR(__xludf.DUMMYFUNCTION("""COMPUTED_VALUE"""),"Algorithm")</f>
        <v>Algorithm</v>
      </c>
      <c r="H408" s="13">
        <f>IFERROR(__xludf.DUMMYFUNCTION("""COMPUTED_VALUE"""),39.0)</f>
        <v>39</v>
      </c>
      <c r="I408" s="11" t="str">
        <f>IFERROR(__xludf.DUMMYFUNCTION("""COMPUTED_VALUE"""),"[SHM] Md. Shamim")</f>
        <v>[SHM] Md. Shamim</v>
      </c>
      <c r="J408" s="13">
        <f t="shared" si="1"/>
        <v>1</v>
      </c>
    </row>
    <row r="409">
      <c r="A409" s="11" t="str">
        <f>IFERROR(__xludf.DUMMYFUNCTION("""COMPUTED_VALUE"""),"D")</f>
        <v>D</v>
      </c>
      <c r="B409" s="11" t="str">
        <f>IFERROR(__xludf.DUMMYFUNCTION("""COMPUTED_VALUE"""),"Slot - L")</f>
        <v>Slot - L</v>
      </c>
      <c r="C409" s="11" t="str">
        <f>IFERROR(__xludf.DUMMYFUNCTION("""COMPUTED_VALUE"""),"25.04.2026")</f>
        <v>25.04.2026</v>
      </c>
      <c r="D409" s="12">
        <f>IFERROR(__xludf.DUMMYFUNCTION("""COMPUTED_VALUE"""),0.4583333333321207)</f>
        <v>0.4583333333</v>
      </c>
      <c r="E409" s="12">
        <f>IFERROR(__xludf.DUMMYFUNCTION("""COMPUTED_VALUE"""),0.5208333333321207)</f>
        <v>0.5208333333</v>
      </c>
      <c r="F409" s="11" t="str">
        <f>IFERROR(__xludf.DUMMYFUNCTION("""COMPUTED_VALUE"""),"CSE353.4")</f>
        <v>CSE353.4</v>
      </c>
      <c r="G409" s="11" t="str">
        <f>IFERROR(__xludf.DUMMYFUNCTION("""COMPUTED_VALUE"""),"Introduction to Data Mining")</f>
        <v>Introduction to Data Mining</v>
      </c>
      <c r="H409" s="13">
        <f>IFERROR(__xludf.DUMMYFUNCTION("""COMPUTED_VALUE"""),41.0)</f>
        <v>41</v>
      </c>
      <c r="I409" s="11" t="str">
        <f>IFERROR(__xludf.DUMMYFUNCTION("""COMPUTED_VALUE"""),"[SHM] Md. Shamim")</f>
        <v>[SHM] Md. Shamim</v>
      </c>
      <c r="J409" s="13">
        <f t="shared" si="1"/>
        <v>1</v>
      </c>
    </row>
    <row r="410">
      <c r="A410" s="11" t="str">
        <f>IFERROR(__xludf.DUMMYFUNCTION("""COMPUTED_VALUE"""),"C")</f>
        <v>C</v>
      </c>
      <c r="B410" s="11" t="str">
        <f>IFERROR(__xludf.DUMMYFUNCTION("""COMPUTED_VALUE"""),"Slot - 02")</f>
        <v>Slot - 02</v>
      </c>
      <c r="C410" s="11" t="str">
        <f>IFERROR(__xludf.DUMMYFUNCTION("""COMPUTED_VALUE"""),"12.04.2026")</f>
        <v>12.04.2026</v>
      </c>
      <c r="D410" s="12">
        <f>IFERROR(__xludf.DUMMYFUNCTION("""COMPUTED_VALUE"""),0.4791666666678793)</f>
        <v>0.4791666667</v>
      </c>
      <c r="E410" s="12">
        <f>IFERROR(__xludf.DUMMYFUNCTION("""COMPUTED_VALUE"""),0.5416666666678793)</f>
        <v>0.5416666667</v>
      </c>
      <c r="F410" s="11" t="str">
        <f>IFERROR(__xludf.DUMMYFUNCTION("""COMPUTED_VALUE"""),"MAT1103.2")</f>
        <v>MAT1103.2</v>
      </c>
      <c r="G410" s="11" t="str">
        <f>IFERROR(__xludf.DUMMYFUNCTION("""COMPUTED_VALUE"""),"Differential &amp; Integral Calculus")</f>
        <v>Differential &amp; Integral Calculus</v>
      </c>
      <c r="H410" s="13">
        <f>IFERROR(__xludf.DUMMYFUNCTION("""COMPUTED_VALUE"""),31.0)</f>
        <v>31</v>
      </c>
      <c r="I410" s="11" t="str">
        <f>IFERROR(__xludf.DUMMYFUNCTION("""COMPUTED_VALUE"""),"[SHR] Md. Sarowar Hossain Rana")</f>
        <v>[SHR] Md. Sarowar Hossain Rana</v>
      </c>
      <c r="J410" s="13">
        <f t="shared" si="1"/>
        <v>-1</v>
      </c>
    </row>
    <row r="411">
      <c r="A411" s="11" t="str">
        <f>IFERROR(__xludf.DUMMYFUNCTION("""COMPUTED_VALUE"""),"C")</f>
        <v>C</v>
      </c>
      <c r="B411" s="11" t="str">
        <f>IFERROR(__xludf.DUMMYFUNCTION("""COMPUTED_VALUE"""),"Slot - 02")</f>
        <v>Slot - 02</v>
      </c>
      <c r="C411" s="11" t="str">
        <f>IFERROR(__xludf.DUMMYFUNCTION("""COMPUTED_VALUE"""),"12.04.2026")</f>
        <v>12.04.2026</v>
      </c>
      <c r="D411" s="12">
        <f>IFERROR(__xludf.DUMMYFUNCTION("""COMPUTED_VALUE"""),0.4791666666678793)</f>
        <v>0.4791666667</v>
      </c>
      <c r="E411" s="12">
        <f>IFERROR(__xludf.DUMMYFUNCTION("""COMPUTED_VALUE"""),0.5416666666678793)</f>
        <v>0.5416666667</v>
      </c>
      <c r="F411" s="11" t="str">
        <f>IFERROR(__xludf.DUMMYFUNCTION("""COMPUTED_VALUE"""),"MAT1103.3")</f>
        <v>MAT1103.3</v>
      </c>
      <c r="G411" s="11" t="str">
        <f>IFERROR(__xludf.DUMMYFUNCTION("""COMPUTED_VALUE"""),"Differential &amp; Integral Calculus")</f>
        <v>Differential &amp; Integral Calculus</v>
      </c>
      <c r="H411" s="13">
        <f>IFERROR(__xludf.DUMMYFUNCTION("""COMPUTED_VALUE"""),33.0)</f>
        <v>33</v>
      </c>
      <c r="I411" s="11" t="str">
        <f>IFERROR(__xludf.DUMMYFUNCTION("""COMPUTED_VALUE"""),"[SHR] Md. Sarowar Hossain Rana")</f>
        <v>[SHR] Md. Sarowar Hossain Rana</v>
      </c>
      <c r="J411" s="13">
        <f t="shared" si="1"/>
        <v>-1</v>
      </c>
    </row>
    <row r="412">
      <c r="A412" s="11" t="str">
        <f>IFERROR(__xludf.DUMMYFUNCTION("""COMPUTED_VALUE"""),"C")</f>
        <v>C</v>
      </c>
      <c r="B412" s="11" t="str">
        <f>IFERROR(__xludf.DUMMYFUNCTION("""COMPUTED_VALUE"""),"Slot - 14")</f>
        <v>Slot - 14</v>
      </c>
      <c r="C412" s="11" t="str">
        <f>IFERROR(__xludf.DUMMYFUNCTION("""COMPUTED_VALUE"""),"18.04.2026")</f>
        <v>18.04.2026</v>
      </c>
      <c r="D412" s="12">
        <f>IFERROR(__xludf.DUMMYFUNCTION("""COMPUTED_VALUE"""),0.4583333333321207)</f>
        <v>0.4583333333</v>
      </c>
      <c r="E412" s="12">
        <f>IFERROR(__xludf.DUMMYFUNCTION("""COMPUTED_VALUE"""),0.5208333333321207)</f>
        <v>0.5208333333</v>
      </c>
      <c r="F412" s="11" t="str">
        <f>IFERROR(__xludf.DUMMYFUNCTION("""COMPUTED_VALUE"""),"MAT261.8")</f>
        <v>MAT261.8</v>
      </c>
      <c r="G412" s="11" t="str">
        <f>IFERROR(__xludf.DUMMYFUNCTION("""COMPUTED_VALUE"""),"Linear Algebra and Matrices")</f>
        <v>Linear Algebra and Matrices</v>
      </c>
      <c r="H412" s="13">
        <f>IFERROR(__xludf.DUMMYFUNCTION("""COMPUTED_VALUE"""),38.0)</f>
        <v>38</v>
      </c>
      <c r="I412" s="11" t="str">
        <f>IFERROR(__xludf.DUMMYFUNCTION("""COMPUTED_VALUE"""),"[SHR] Md. Sarowar Hossain Rana")</f>
        <v>[SHR] Md. Sarowar Hossain Rana</v>
      </c>
      <c r="J412" s="13">
        <f t="shared" si="1"/>
        <v>-1</v>
      </c>
    </row>
    <row r="413">
      <c r="A413" s="11" t="str">
        <f>IFERROR(__xludf.DUMMYFUNCTION("""COMPUTED_VALUE"""),"C")</f>
        <v>C</v>
      </c>
      <c r="B413" s="11" t="str">
        <f>IFERROR(__xludf.DUMMYFUNCTION("""COMPUTED_VALUE"""),"Slot - 14")</f>
        <v>Slot - 14</v>
      </c>
      <c r="C413" s="11" t="str">
        <f>IFERROR(__xludf.DUMMYFUNCTION("""COMPUTED_VALUE"""),"18.04.2026")</f>
        <v>18.04.2026</v>
      </c>
      <c r="D413" s="12">
        <f>IFERROR(__xludf.DUMMYFUNCTION("""COMPUTED_VALUE"""),0.4583333333321207)</f>
        <v>0.4583333333</v>
      </c>
      <c r="E413" s="12">
        <f>IFERROR(__xludf.DUMMYFUNCTION("""COMPUTED_VALUE"""),0.5208333333321207)</f>
        <v>0.5208333333</v>
      </c>
      <c r="F413" s="11" t="str">
        <f>IFERROR(__xludf.DUMMYFUNCTION("""COMPUTED_VALUE"""),"MAT261.9")</f>
        <v>MAT261.9</v>
      </c>
      <c r="G413" s="11" t="str">
        <f>IFERROR(__xludf.DUMMYFUNCTION("""COMPUTED_VALUE"""),"Linear Algebra and Matrices")</f>
        <v>Linear Algebra and Matrices</v>
      </c>
      <c r="H413" s="13">
        <f>IFERROR(__xludf.DUMMYFUNCTION("""COMPUTED_VALUE"""),38.0)</f>
        <v>38</v>
      </c>
      <c r="I413" s="11" t="str">
        <f>IFERROR(__xludf.DUMMYFUNCTION("""COMPUTED_VALUE"""),"[SHR] Md. Sarowar Hossain Rana")</f>
        <v>[SHR] Md. Sarowar Hossain Rana</v>
      </c>
      <c r="J413" s="13">
        <f t="shared" si="1"/>
        <v>-1</v>
      </c>
    </row>
    <row r="414">
      <c r="A414" s="11" t="str">
        <f>IFERROR(__xludf.DUMMYFUNCTION("""COMPUTED_VALUE"""),"C")</f>
        <v>C</v>
      </c>
      <c r="B414" s="11" t="str">
        <f>IFERROR(__xludf.DUMMYFUNCTION("""COMPUTED_VALUE"""),"Slot - 14")</f>
        <v>Slot - 14</v>
      </c>
      <c r="C414" s="11" t="str">
        <f>IFERROR(__xludf.DUMMYFUNCTION("""COMPUTED_VALUE"""),"18.04.2026")</f>
        <v>18.04.2026</v>
      </c>
      <c r="D414" s="12">
        <f>IFERROR(__xludf.DUMMYFUNCTION("""COMPUTED_VALUE"""),0.4583333333321207)</f>
        <v>0.4583333333</v>
      </c>
      <c r="E414" s="12">
        <f>IFERROR(__xludf.DUMMYFUNCTION("""COMPUTED_VALUE"""),0.5208333333321207)</f>
        <v>0.5208333333</v>
      </c>
      <c r="F414" s="11" t="str">
        <f>IFERROR(__xludf.DUMMYFUNCTION("""COMPUTED_VALUE"""),"MAT261.10")</f>
        <v>MAT261.10</v>
      </c>
      <c r="G414" s="11" t="str">
        <f>IFERROR(__xludf.DUMMYFUNCTION("""COMPUTED_VALUE"""),"Linear Algebra and Matrices")</f>
        <v>Linear Algebra and Matrices</v>
      </c>
      <c r="H414" s="13">
        <f>IFERROR(__xludf.DUMMYFUNCTION("""COMPUTED_VALUE"""),33.0)</f>
        <v>33</v>
      </c>
      <c r="I414" s="11" t="str">
        <f>IFERROR(__xludf.DUMMYFUNCTION("""COMPUTED_VALUE"""),"[SHR] Md. Sarowar Hossain Rana")</f>
        <v>[SHR] Md. Sarowar Hossain Rana</v>
      </c>
      <c r="J414" s="13">
        <f t="shared" si="1"/>
        <v>-1</v>
      </c>
    </row>
    <row r="415">
      <c r="A415" s="11" t="str">
        <f>IFERROR(__xludf.DUMMYFUNCTION("""COMPUTED_VALUE"""),"D")</f>
        <v>D</v>
      </c>
      <c r="B415" s="11" t="str">
        <f>IFERROR(__xludf.DUMMYFUNCTION("""COMPUTED_VALUE"""),"Slot - A")</f>
        <v>Slot - A</v>
      </c>
      <c r="C415" s="11" t="str">
        <f>IFERROR(__xludf.DUMMYFUNCTION("""COMPUTED_VALUE"""),"17.04.2026")</f>
        <v>17.04.2026</v>
      </c>
      <c r="D415" s="12">
        <f>IFERROR(__xludf.DUMMYFUNCTION("""COMPUTED_VALUE"""),0.375)</f>
        <v>0.375</v>
      </c>
      <c r="E415" s="12">
        <f>IFERROR(__xludf.DUMMYFUNCTION("""COMPUTED_VALUE"""),0.4375)</f>
        <v>0.4375</v>
      </c>
      <c r="F415" s="11" t="str">
        <f>IFERROR(__xludf.DUMMYFUNCTION("""COMPUTED_VALUE"""),"CSE263.15")</f>
        <v>CSE263.15</v>
      </c>
      <c r="G415" s="11" t="str">
        <f>IFERROR(__xludf.DUMMYFUNCTION("""COMPUTED_VALUE"""),"Digital Logic Design")</f>
        <v>Digital Logic Design</v>
      </c>
      <c r="H415" s="13">
        <f>IFERROR(__xludf.DUMMYFUNCTION("""COMPUTED_VALUE"""),36.0)</f>
        <v>36</v>
      </c>
      <c r="I415" s="11" t="str">
        <f>IFERROR(__xludf.DUMMYFUNCTION("""COMPUTED_VALUE"""),"[SHSH] Shoeb Mohammad Shahriar")</f>
        <v>[SHSH] Shoeb Mohammad Shahriar</v>
      </c>
      <c r="J415" s="13">
        <f t="shared" si="1"/>
        <v>1</v>
      </c>
    </row>
    <row r="416">
      <c r="A416" s="11" t="str">
        <f>IFERROR(__xludf.DUMMYFUNCTION("""COMPUTED_VALUE"""),"D")</f>
        <v>D</v>
      </c>
      <c r="B416" s="11" t="str">
        <f>IFERROR(__xludf.DUMMYFUNCTION("""COMPUTED_VALUE"""),"Slot - I")</f>
        <v>Slot - I</v>
      </c>
      <c r="C416" s="11" t="str">
        <f>IFERROR(__xludf.DUMMYFUNCTION("""COMPUTED_VALUE"""),"24.04.2026")</f>
        <v>24.04.2026</v>
      </c>
      <c r="D416" s="12">
        <f>IFERROR(__xludf.DUMMYFUNCTION("""COMPUTED_VALUE"""),0.6041666666678793)</f>
        <v>0.6041666667</v>
      </c>
      <c r="E416" s="12">
        <f>IFERROR(__xludf.DUMMYFUNCTION("""COMPUTED_VALUE"""),0.6666666666678793)</f>
        <v>0.6666666667</v>
      </c>
      <c r="F416" s="11" t="str">
        <f>IFERROR(__xludf.DUMMYFUNCTION("""COMPUTED_VALUE"""),"CSE365.15")</f>
        <v>CSE365.15</v>
      </c>
      <c r="G416" s="11" t="str">
        <f>IFERROR(__xludf.DUMMYFUNCTION("""COMPUTED_VALUE"""),"Artificial Intelligence")</f>
        <v>Artificial Intelligence</v>
      </c>
      <c r="H416" s="13">
        <f>IFERROR(__xludf.DUMMYFUNCTION("""COMPUTED_VALUE"""),39.0)</f>
        <v>39</v>
      </c>
      <c r="I416" s="11" t="str">
        <f>IFERROR(__xludf.DUMMYFUNCTION("""COMPUTED_VALUE"""),"[SHSH] Shoeb Mohammad Shahriar")</f>
        <v>[SHSH] Shoeb Mohammad Shahriar</v>
      </c>
      <c r="J416" s="13">
        <f t="shared" si="1"/>
        <v>1</v>
      </c>
    </row>
    <row r="417">
      <c r="A417" s="11" t="str">
        <f>IFERROR(__xludf.DUMMYFUNCTION("""COMPUTED_VALUE"""),"C")</f>
        <v>C</v>
      </c>
      <c r="B417" s="11" t="str">
        <f>IFERROR(__xludf.DUMMYFUNCTION("""COMPUTED_VALUE"""),"Slot - 14")</f>
        <v>Slot - 14</v>
      </c>
      <c r="C417" s="11" t="str">
        <f>IFERROR(__xludf.DUMMYFUNCTION("""COMPUTED_VALUE"""),"18.04.2026")</f>
        <v>18.04.2026</v>
      </c>
      <c r="D417" s="12">
        <f>IFERROR(__xludf.DUMMYFUNCTION("""COMPUTED_VALUE"""),0.4583333333321207)</f>
        <v>0.4583333333</v>
      </c>
      <c r="E417" s="12">
        <f>IFERROR(__xludf.DUMMYFUNCTION("""COMPUTED_VALUE"""),0.5208333333321207)</f>
        <v>0.5208333333</v>
      </c>
      <c r="F417" s="11" t="str">
        <f>IFERROR(__xludf.DUMMYFUNCTION("""COMPUTED_VALUE"""),"PHY161.5")</f>
        <v>PHY161.5</v>
      </c>
      <c r="G417" s="11" t="str">
        <f>IFERROR(__xludf.DUMMYFUNCTION("""COMPUTED_VALUE"""),"Physics I")</f>
        <v>Physics I</v>
      </c>
      <c r="H417" s="13">
        <f>IFERROR(__xludf.DUMMYFUNCTION("""COMPUTED_VALUE"""),41.0)</f>
        <v>41</v>
      </c>
      <c r="I417" s="11" t="str">
        <f>IFERROR(__xludf.DUMMYFUNCTION("""COMPUTED_VALUE"""),"[SKAA] Dr. SK. Abdul Kader Arafin")</f>
        <v>[SKAA] Dr. SK. Abdul Kader Arafin</v>
      </c>
      <c r="J417" s="13">
        <f t="shared" si="1"/>
        <v>-1</v>
      </c>
    </row>
    <row r="418">
      <c r="A418" s="11" t="str">
        <f>IFERROR(__xludf.DUMMYFUNCTION("""COMPUTED_VALUE"""),"C")</f>
        <v>C</v>
      </c>
      <c r="B418" s="11" t="str">
        <f>IFERROR(__xludf.DUMMYFUNCTION("""COMPUTED_VALUE"""),"Slot - 14")</f>
        <v>Slot - 14</v>
      </c>
      <c r="C418" s="11" t="str">
        <f>IFERROR(__xludf.DUMMYFUNCTION("""COMPUTED_VALUE"""),"18.04.2026")</f>
        <v>18.04.2026</v>
      </c>
      <c r="D418" s="12">
        <f>IFERROR(__xludf.DUMMYFUNCTION("""COMPUTED_VALUE"""),0.4583333333321207)</f>
        <v>0.4583333333</v>
      </c>
      <c r="E418" s="12">
        <f>IFERROR(__xludf.DUMMYFUNCTION("""COMPUTED_VALUE"""),0.5208333333321207)</f>
        <v>0.5208333333</v>
      </c>
      <c r="F418" s="11" t="str">
        <f>IFERROR(__xludf.DUMMYFUNCTION("""COMPUTED_VALUE"""),"PHY161.6")</f>
        <v>PHY161.6</v>
      </c>
      <c r="G418" s="11" t="str">
        <f>IFERROR(__xludf.DUMMYFUNCTION("""COMPUTED_VALUE"""),"Physics I")</f>
        <v>Physics I</v>
      </c>
      <c r="H418" s="13">
        <f>IFERROR(__xludf.DUMMYFUNCTION("""COMPUTED_VALUE"""),42.0)</f>
        <v>42</v>
      </c>
      <c r="I418" s="11" t="str">
        <f>IFERROR(__xludf.DUMMYFUNCTION("""COMPUTED_VALUE"""),"[SKAA] Dr. SK. Abdul Kader Arafin")</f>
        <v>[SKAA] Dr. SK. Abdul Kader Arafin</v>
      </c>
      <c r="J418" s="13">
        <f t="shared" si="1"/>
        <v>-1</v>
      </c>
    </row>
    <row r="419">
      <c r="A419" s="11" t="str">
        <f>IFERROR(__xludf.DUMMYFUNCTION("""COMPUTED_VALUE"""),"C")</f>
        <v>C</v>
      </c>
      <c r="B419" s="11" t="str">
        <f>IFERROR(__xludf.DUMMYFUNCTION("""COMPUTED_VALUE"""),"Slot - 10")</f>
        <v>Slot - 10</v>
      </c>
      <c r="C419" s="11" t="str">
        <f>IFERROR(__xludf.DUMMYFUNCTION("""COMPUTED_VALUE"""),"16.04.2026")</f>
        <v>16.04.2026</v>
      </c>
      <c r="D419" s="12">
        <f>IFERROR(__xludf.DUMMYFUNCTION("""COMPUTED_VALUE"""),0.3541666666678793)</f>
        <v>0.3541666667</v>
      </c>
      <c r="E419" s="12">
        <f>IFERROR(__xludf.DUMMYFUNCTION("""COMPUTED_VALUE"""),0.4166666666678793)</f>
        <v>0.4166666667</v>
      </c>
      <c r="F419" s="11" t="str">
        <f>IFERROR(__xludf.DUMMYFUNCTION("""COMPUTED_VALUE"""),"CSE161.1")</f>
        <v>CSE161.1</v>
      </c>
      <c r="G419" s="11" t="str">
        <f>IFERROR(__xludf.DUMMYFUNCTION("""COMPUTED_VALUE"""),"Programming Language I")</f>
        <v>Programming Language I</v>
      </c>
      <c r="H419" s="13">
        <f>IFERROR(__xludf.DUMMYFUNCTION("""COMPUTED_VALUE"""),41.0)</f>
        <v>41</v>
      </c>
      <c r="I419" s="11" t="str">
        <f>IFERROR(__xludf.DUMMYFUNCTION("""COMPUTED_VALUE"""),"[SM] Shahriar Manzoor")</f>
        <v>[SM] Shahriar Manzoor</v>
      </c>
      <c r="J419" s="13">
        <f t="shared" si="1"/>
        <v>1</v>
      </c>
    </row>
    <row r="420">
      <c r="A420" s="11" t="str">
        <f>IFERROR(__xludf.DUMMYFUNCTION("""COMPUTED_VALUE"""),"C")</f>
        <v>C</v>
      </c>
      <c r="B420" s="11" t="str">
        <f>IFERROR(__xludf.DUMMYFUNCTION("""COMPUTED_VALUE"""),"Slot - 10")</f>
        <v>Slot - 10</v>
      </c>
      <c r="C420" s="11" t="str">
        <f>IFERROR(__xludf.DUMMYFUNCTION("""COMPUTED_VALUE"""),"16.04.2026")</f>
        <v>16.04.2026</v>
      </c>
      <c r="D420" s="12">
        <f>IFERROR(__xludf.DUMMYFUNCTION("""COMPUTED_VALUE"""),0.3541666666678793)</f>
        <v>0.3541666667</v>
      </c>
      <c r="E420" s="12">
        <f>IFERROR(__xludf.DUMMYFUNCTION("""COMPUTED_VALUE"""),0.4166666666678793)</f>
        <v>0.4166666667</v>
      </c>
      <c r="F420" s="11" t="str">
        <f>IFERROR(__xludf.DUMMYFUNCTION("""COMPUTED_VALUE"""),"CSE161.2")</f>
        <v>CSE161.2</v>
      </c>
      <c r="G420" s="11" t="str">
        <f>IFERROR(__xludf.DUMMYFUNCTION("""COMPUTED_VALUE"""),"Programming Language I")</f>
        <v>Programming Language I</v>
      </c>
      <c r="H420" s="13">
        <f>IFERROR(__xludf.DUMMYFUNCTION("""COMPUTED_VALUE"""),41.0)</f>
        <v>41</v>
      </c>
      <c r="I420" s="11" t="str">
        <f>IFERROR(__xludf.DUMMYFUNCTION("""COMPUTED_VALUE"""),"[SM] Shahriar Manzoor")</f>
        <v>[SM] Shahriar Manzoor</v>
      </c>
      <c r="J420" s="13">
        <f t="shared" si="1"/>
        <v>1</v>
      </c>
    </row>
    <row r="421">
      <c r="A421" s="11" t="str">
        <f>IFERROR(__xludf.DUMMYFUNCTION("""COMPUTED_VALUE"""),"C")</f>
        <v>C</v>
      </c>
      <c r="B421" s="11" t="str">
        <f>IFERROR(__xludf.DUMMYFUNCTION("""COMPUTED_VALUE"""),"Slot - 07")</f>
        <v>Slot - 07</v>
      </c>
      <c r="C421" s="11" t="str">
        <f>IFERROR(__xludf.DUMMYFUNCTION("""COMPUTED_VALUE"""),"15.04.2026")</f>
        <v>15.04.2026</v>
      </c>
      <c r="D421" s="12">
        <f>IFERROR(__xludf.DUMMYFUNCTION("""COMPUTED_VALUE"""),0.3541666666678793)</f>
        <v>0.3541666667</v>
      </c>
      <c r="E421" s="12">
        <f>IFERROR(__xludf.DUMMYFUNCTION("""COMPUTED_VALUE"""),0.4166666666678793)</f>
        <v>0.4166666667</v>
      </c>
      <c r="F421" s="11" t="str">
        <f>IFERROR(__xludf.DUMMYFUNCTION("""COMPUTED_VALUE"""),"CSE181.1")</f>
        <v>CSE181.1</v>
      </c>
      <c r="G421" s="11" t="str">
        <f>IFERROR(__xludf.DUMMYFUNCTION("""COMPUTED_VALUE"""),"Discrete Mathematics")</f>
        <v>Discrete Mathematics</v>
      </c>
      <c r="H421" s="13">
        <f>IFERROR(__xludf.DUMMYFUNCTION("""COMPUTED_VALUE"""),39.0)</f>
        <v>39</v>
      </c>
      <c r="I421" s="11" t="str">
        <f>IFERROR(__xludf.DUMMYFUNCTION("""COMPUTED_VALUE"""),"[SMA] Sakib Mahmud")</f>
        <v>[SMA] Sakib Mahmud</v>
      </c>
      <c r="J421" s="13">
        <f t="shared" si="1"/>
        <v>-1</v>
      </c>
    </row>
    <row r="422">
      <c r="A422" s="11" t="str">
        <f>IFERROR(__xludf.DUMMYFUNCTION("""COMPUTED_VALUE"""),"C")</f>
        <v>C</v>
      </c>
      <c r="B422" s="11" t="str">
        <f>IFERROR(__xludf.DUMMYFUNCTION("""COMPUTED_VALUE"""),"Slot - 20")</f>
        <v>Slot - 20</v>
      </c>
      <c r="C422" s="11" t="str">
        <f>IFERROR(__xludf.DUMMYFUNCTION("""COMPUTED_VALUE"""),"20.04.2026")</f>
        <v>20.04.2026</v>
      </c>
      <c r="D422" s="12">
        <f>IFERROR(__xludf.DUMMYFUNCTION("""COMPUTED_VALUE"""),0.4791666666678793)</f>
        <v>0.4791666667</v>
      </c>
      <c r="E422" s="12">
        <f>IFERROR(__xludf.DUMMYFUNCTION("""COMPUTED_VALUE"""),0.5416666666678793)</f>
        <v>0.5416666667</v>
      </c>
      <c r="F422" s="11" t="str">
        <f>IFERROR(__xludf.DUMMYFUNCTION("""COMPUTED_VALUE"""),"CSE241.1")</f>
        <v>CSE241.1</v>
      </c>
      <c r="G422" s="11" t="str">
        <f>IFERROR(__xludf.DUMMYFUNCTION("""COMPUTED_VALUE"""),"Data Structures")</f>
        <v>Data Structures</v>
      </c>
      <c r="H422" s="13">
        <f>IFERROR(__xludf.DUMMYFUNCTION("""COMPUTED_VALUE"""),43.0)</f>
        <v>43</v>
      </c>
      <c r="I422" s="11" t="str">
        <f>IFERROR(__xludf.DUMMYFUNCTION("""COMPUTED_VALUE"""),"[SMA] Sakib Mahmud")</f>
        <v>[SMA] Sakib Mahmud</v>
      </c>
      <c r="J422" s="13">
        <f t="shared" si="1"/>
        <v>-1</v>
      </c>
    </row>
    <row r="423">
      <c r="A423" s="11" t="str">
        <f>IFERROR(__xludf.DUMMYFUNCTION("""COMPUTED_VALUE"""),"C")</f>
        <v>C</v>
      </c>
      <c r="B423" s="11" t="str">
        <f>IFERROR(__xludf.DUMMYFUNCTION("""COMPUTED_VALUE"""),"Slot - 20")</f>
        <v>Slot - 20</v>
      </c>
      <c r="C423" s="11" t="str">
        <f>IFERROR(__xludf.DUMMYFUNCTION("""COMPUTED_VALUE"""),"20.04.2026")</f>
        <v>20.04.2026</v>
      </c>
      <c r="D423" s="12">
        <f>IFERROR(__xludf.DUMMYFUNCTION("""COMPUTED_VALUE"""),0.4791666666678793)</f>
        <v>0.4791666667</v>
      </c>
      <c r="E423" s="12">
        <f>IFERROR(__xludf.DUMMYFUNCTION("""COMPUTED_VALUE"""),0.5416666666678793)</f>
        <v>0.5416666667</v>
      </c>
      <c r="F423" s="11" t="str">
        <f>IFERROR(__xludf.DUMMYFUNCTION("""COMPUTED_VALUE"""),"CSE241.2")</f>
        <v>CSE241.2</v>
      </c>
      <c r="G423" s="11" t="str">
        <f>IFERROR(__xludf.DUMMYFUNCTION("""COMPUTED_VALUE"""),"Data Structures")</f>
        <v>Data Structures</v>
      </c>
      <c r="H423" s="13">
        <f>IFERROR(__xludf.DUMMYFUNCTION("""COMPUTED_VALUE"""),42.0)</f>
        <v>42</v>
      </c>
      <c r="I423" s="11" t="str">
        <f>IFERROR(__xludf.DUMMYFUNCTION("""COMPUTED_VALUE"""),"[SMA] Sakib Mahmud")</f>
        <v>[SMA] Sakib Mahmud</v>
      </c>
      <c r="J423" s="13">
        <f t="shared" si="1"/>
        <v>-1</v>
      </c>
    </row>
    <row r="424">
      <c r="A424" s="11" t="str">
        <f>IFERROR(__xludf.DUMMYFUNCTION("""COMPUTED_VALUE"""),"D")</f>
        <v>D</v>
      </c>
      <c r="B424" s="11" t="str">
        <f>IFERROR(__xludf.DUMMYFUNCTION("""COMPUTED_VALUE"""),"Slot - G")</f>
        <v>Slot - G</v>
      </c>
      <c r="C424" s="11" t="str">
        <f>IFERROR(__xludf.DUMMYFUNCTION("""COMPUTED_VALUE"""),"24.04.2026")</f>
        <v>24.04.2026</v>
      </c>
      <c r="D424" s="12">
        <f>IFERROR(__xludf.DUMMYFUNCTION("""COMPUTED_VALUE"""),0.375)</f>
        <v>0.375</v>
      </c>
      <c r="E424" s="12">
        <f>IFERROR(__xludf.DUMMYFUNCTION("""COMPUTED_VALUE"""),0.4375)</f>
        <v>0.4375</v>
      </c>
      <c r="F424" s="11" t="str">
        <f>IFERROR(__xludf.DUMMYFUNCTION("""COMPUTED_VALUE"""),"CSE241.10")</f>
        <v>CSE241.10</v>
      </c>
      <c r="G424" s="11" t="str">
        <f>IFERROR(__xludf.DUMMYFUNCTION("""COMPUTED_VALUE"""),"Data Structures")</f>
        <v>Data Structures</v>
      </c>
      <c r="H424" s="13">
        <f>IFERROR(__xludf.DUMMYFUNCTION("""COMPUTED_VALUE"""),30.0)</f>
        <v>30</v>
      </c>
      <c r="I424" s="11" t="str">
        <f>IFERROR(__xludf.DUMMYFUNCTION("""COMPUTED_VALUE"""),"[SMA] Sakib Mahmud")</f>
        <v>[SMA] Sakib Mahmud</v>
      </c>
      <c r="J424" s="13">
        <f t="shared" si="1"/>
        <v>-1</v>
      </c>
    </row>
    <row r="425">
      <c r="A425" s="11" t="str">
        <f>IFERROR(__xludf.DUMMYFUNCTION("""COMPUTED_VALUE"""),"C")</f>
        <v>C</v>
      </c>
      <c r="B425" s="11" t="str">
        <f>IFERROR(__xludf.DUMMYFUNCTION("""COMPUTED_VALUE"""),"Slot - 02")</f>
        <v>Slot - 02</v>
      </c>
      <c r="C425" s="11" t="str">
        <f>IFERROR(__xludf.DUMMYFUNCTION("""COMPUTED_VALUE"""),"12.04.2026")</f>
        <v>12.04.2026</v>
      </c>
      <c r="D425" s="12">
        <f>IFERROR(__xludf.DUMMYFUNCTION("""COMPUTED_VALUE"""),0.4791666666678793)</f>
        <v>0.4791666667</v>
      </c>
      <c r="E425" s="12">
        <f>IFERROR(__xludf.DUMMYFUNCTION("""COMPUTED_VALUE"""),0.5416666666678793)</f>
        <v>0.5416666667</v>
      </c>
      <c r="F425" s="11" t="str">
        <f>IFERROR(__xludf.DUMMYFUNCTION("""COMPUTED_VALUE"""),"CSE263.10")</f>
        <v>CSE263.10</v>
      </c>
      <c r="G425" s="11" t="str">
        <f>IFERROR(__xludf.DUMMYFUNCTION("""COMPUTED_VALUE"""),"Digital Logic Design")</f>
        <v>Digital Logic Design</v>
      </c>
      <c r="H425" s="13">
        <f>IFERROR(__xludf.DUMMYFUNCTION("""COMPUTED_VALUE"""),40.0)</f>
        <v>40</v>
      </c>
      <c r="I425" s="11" t="str">
        <f>IFERROR(__xludf.DUMMYFUNCTION("""COMPUTED_VALUE"""),"[SOY] Somonindro Roy")</f>
        <v>[SOY] Somonindro Roy</v>
      </c>
      <c r="J425" s="13">
        <f t="shared" si="1"/>
        <v>1</v>
      </c>
    </row>
    <row r="426">
      <c r="A426" s="11" t="str">
        <f>IFERROR(__xludf.DUMMYFUNCTION("""COMPUTED_VALUE"""),"C")</f>
        <v>C</v>
      </c>
      <c r="B426" s="11" t="str">
        <f>IFERROR(__xludf.DUMMYFUNCTION("""COMPUTED_VALUE"""),"Slot - 02")</f>
        <v>Slot - 02</v>
      </c>
      <c r="C426" s="11" t="str">
        <f>IFERROR(__xludf.DUMMYFUNCTION("""COMPUTED_VALUE"""),"12.04.2026")</f>
        <v>12.04.2026</v>
      </c>
      <c r="D426" s="12">
        <f>IFERROR(__xludf.DUMMYFUNCTION("""COMPUTED_VALUE"""),0.4791666666678793)</f>
        <v>0.4791666667</v>
      </c>
      <c r="E426" s="12">
        <f>IFERROR(__xludf.DUMMYFUNCTION("""COMPUTED_VALUE"""),0.5416666666678793)</f>
        <v>0.5416666667</v>
      </c>
      <c r="F426" s="11" t="str">
        <f>IFERROR(__xludf.DUMMYFUNCTION("""COMPUTED_VALUE"""),"CSE263.11")</f>
        <v>CSE263.11</v>
      </c>
      <c r="G426" s="11" t="str">
        <f>IFERROR(__xludf.DUMMYFUNCTION("""COMPUTED_VALUE"""),"Digital Logic Design")</f>
        <v>Digital Logic Design</v>
      </c>
      <c r="H426" s="13">
        <f>IFERROR(__xludf.DUMMYFUNCTION("""COMPUTED_VALUE"""),40.0)</f>
        <v>40</v>
      </c>
      <c r="I426" s="11" t="str">
        <f>IFERROR(__xludf.DUMMYFUNCTION("""COMPUTED_VALUE"""),"[SOY] Somonindro Roy")</f>
        <v>[SOY] Somonindro Roy</v>
      </c>
      <c r="J426" s="13">
        <f t="shared" si="1"/>
        <v>1</v>
      </c>
    </row>
    <row r="427">
      <c r="A427" s="11" t="str">
        <f>IFERROR(__xludf.DUMMYFUNCTION("""COMPUTED_VALUE"""),"C")</f>
        <v>C</v>
      </c>
      <c r="B427" s="11" t="str">
        <f>IFERROR(__xludf.DUMMYFUNCTION("""COMPUTED_VALUE"""),"Slot - 12")</f>
        <v>Slot - 12</v>
      </c>
      <c r="C427" s="11" t="str">
        <f>IFERROR(__xludf.DUMMYFUNCTION("""COMPUTED_VALUE"""),"16.04.2026")</f>
        <v>16.04.2026</v>
      </c>
      <c r="D427" s="12">
        <f>IFERROR(__xludf.DUMMYFUNCTION("""COMPUTED_VALUE"""),0.6041666666678793)</f>
        <v>0.6041666667</v>
      </c>
      <c r="E427" s="12">
        <f>IFERROR(__xludf.DUMMYFUNCTION("""COMPUTED_VALUE"""),0.6666666666678793)</f>
        <v>0.6666666667</v>
      </c>
      <c r="F427" s="11" t="str">
        <f>IFERROR(__xludf.DUMMYFUNCTION("""COMPUTED_VALUE"""),"EEE181.10")</f>
        <v>EEE181.10</v>
      </c>
      <c r="G427" s="11" t="str">
        <f>IFERROR(__xludf.DUMMYFUNCTION("""COMPUTED_VALUE"""),"Electrical Circuits Design I")</f>
        <v>Electrical Circuits Design I</v>
      </c>
      <c r="H427" s="13">
        <f>IFERROR(__xludf.DUMMYFUNCTION("""COMPUTED_VALUE"""),36.0)</f>
        <v>36</v>
      </c>
      <c r="I427" s="11" t="str">
        <f>IFERROR(__xludf.DUMMYFUNCTION("""COMPUTED_VALUE"""),"[SS] Shahad Saroar")</f>
        <v>[SS] Shahad Saroar</v>
      </c>
      <c r="J427" s="13">
        <f t="shared" si="1"/>
        <v>-1</v>
      </c>
    </row>
    <row r="428">
      <c r="A428" s="11" t="str">
        <f>IFERROR(__xludf.DUMMYFUNCTION("""COMPUTED_VALUE"""),"C")</f>
        <v>C</v>
      </c>
      <c r="B428" s="11" t="str">
        <f>IFERROR(__xludf.DUMMYFUNCTION("""COMPUTED_VALUE"""),"Slot - 12")</f>
        <v>Slot - 12</v>
      </c>
      <c r="C428" s="11" t="str">
        <f>IFERROR(__xludf.DUMMYFUNCTION("""COMPUTED_VALUE"""),"16.04.2026")</f>
        <v>16.04.2026</v>
      </c>
      <c r="D428" s="12">
        <f>IFERROR(__xludf.DUMMYFUNCTION("""COMPUTED_VALUE"""),0.6041666666678793)</f>
        <v>0.6041666667</v>
      </c>
      <c r="E428" s="12">
        <f>IFERROR(__xludf.DUMMYFUNCTION("""COMPUTED_VALUE"""),0.6666666666678793)</f>
        <v>0.6666666667</v>
      </c>
      <c r="F428" s="11" t="str">
        <f>IFERROR(__xludf.DUMMYFUNCTION("""COMPUTED_VALUE"""),"EEE181.11")</f>
        <v>EEE181.11</v>
      </c>
      <c r="G428" s="11" t="str">
        <f>IFERROR(__xludf.DUMMYFUNCTION("""COMPUTED_VALUE"""),"Electrical Circuits Design I")</f>
        <v>Electrical Circuits Design I</v>
      </c>
      <c r="H428" s="13">
        <f>IFERROR(__xludf.DUMMYFUNCTION("""COMPUTED_VALUE"""),37.0)</f>
        <v>37</v>
      </c>
      <c r="I428" s="11" t="str">
        <f>IFERROR(__xludf.DUMMYFUNCTION("""COMPUTED_VALUE"""),"[SS] Shahad Saroar")</f>
        <v>[SS] Shahad Saroar</v>
      </c>
      <c r="J428" s="13">
        <f t="shared" si="1"/>
        <v>-1</v>
      </c>
    </row>
    <row r="429">
      <c r="A429" s="11" t="str">
        <f>IFERROR(__xludf.DUMMYFUNCTION("""COMPUTED_VALUE"""),"D")</f>
        <v>D</v>
      </c>
      <c r="B429" s="11" t="str">
        <f>IFERROR(__xludf.DUMMYFUNCTION("""COMPUTED_VALUE"""),"Slot - F")</f>
        <v>Slot - F</v>
      </c>
      <c r="C429" s="11" t="str">
        <f>IFERROR(__xludf.DUMMYFUNCTION("""COMPUTED_VALUE"""),"18.04.2026")</f>
        <v>18.04.2026</v>
      </c>
      <c r="D429" s="12">
        <f>IFERROR(__xludf.DUMMYFUNCTION("""COMPUTED_VALUE"""),0.7916666666678793)</f>
        <v>0.7916666667</v>
      </c>
      <c r="E429" s="12">
        <f>IFERROR(__xludf.DUMMYFUNCTION("""COMPUTED_VALUE"""),0.8541666666678793)</f>
        <v>0.8541666667</v>
      </c>
      <c r="F429" s="11" t="str">
        <f>IFERROR(__xludf.DUMMYFUNCTION("""COMPUTED_VALUE"""),"ECO461.12")</f>
        <v>ECO461.12</v>
      </c>
      <c r="G429" s="11" t="str">
        <f>IFERROR(__xludf.DUMMYFUNCTION("""COMPUTED_VALUE"""),"Introduction to Economics")</f>
        <v>Introduction to Economics</v>
      </c>
      <c r="H429" s="13">
        <f>IFERROR(__xludf.DUMMYFUNCTION("""COMPUTED_VALUE"""),19.0)</f>
        <v>19</v>
      </c>
      <c r="I429" s="11" t="str">
        <f>IFERROR(__xludf.DUMMYFUNCTION("""COMPUTED_VALUE"""),"[SUAK] Sumaeya Akhter")</f>
        <v>[SUAK] Sumaeya Akhter</v>
      </c>
      <c r="J429" s="13">
        <f t="shared" si="1"/>
        <v>1</v>
      </c>
    </row>
    <row r="430">
      <c r="A430" s="11" t="str">
        <f>IFERROR(__xludf.DUMMYFUNCTION("""COMPUTED_VALUE"""),"D")</f>
        <v>D</v>
      </c>
      <c r="B430" s="11" t="str">
        <f>IFERROR(__xludf.DUMMYFUNCTION("""COMPUTED_VALUE"""),"Slot - B")</f>
        <v>Slot - B</v>
      </c>
      <c r="C430" s="11" t="str">
        <f>IFERROR(__xludf.DUMMYFUNCTION("""COMPUTED_VALUE"""),"17.04.2026")</f>
        <v>17.04.2026</v>
      </c>
      <c r="D430" s="12">
        <f>IFERROR(__xludf.DUMMYFUNCTION("""COMPUTED_VALUE"""),0.4791666666678793)</f>
        <v>0.4791666667</v>
      </c>
      <c r="E430" s="12">
        <f>IFERROR(__xludf.DUMMYFUNCTION("""COMPUTED_VALUE"""),0.5416666666678793)</f>
        <v>0.5416666667</v>
      </c>
      <c r="F430" s="11" t="str">
        <f>IFERROR(__xludf.DUMMYFUNCTION("""COMPUTED_VALUE"""),"ETE281.12")</f>
        <v>ETE281.12</v>
      </c>
      <c r="G430" s="11" t="str">
        <f>IFERROR(__xludf.DUMMYFUNCTION("""COMPUTED_VALUE"""),"Communication Theory")</f>
        <v>Communication Theory</v>
      </c>
      <c r="H430" s="13">
        <f>IFERROR(__xludf.DUMMYFUNCTION("""COMPUTED_VALUE"""),22.0)</f>
        <v>22</v>
      </c>
      <c r="I430" s="11" t="str">
        <f>IFERROR(__xludf.DUMMYFUNCTION("""COMPUTED_VALUE"""),"[SW] Mohammad Shamim Waheed")</f>
        <v>[SW] Mohammad Shamim Waheed</v>
      </c>
      <c r="J430" s="13">
        <f t="shared" si="1"/>
        <v>-1</v>
      </c>
    </row>
    <row r="431">
      <c r="A431" s="11" t="str">
        <f>IFERROR(__xludf.DUMMYFUNCTION("""COMPUTED_VALUE"""),"D")</f>
        <v>D</v>
      </c>
      <c r="B431" s="11" t="str">
        <f>IFERROR(__xludf.DUMMYFUNCTION("""COMPUTED_VALUE"""),"Slot - F")</f>
        <v>Slot - F</v>
      </c>
      <c r="C431" s="11" t="str">
        <f>IFERROR(__xludf.DUMMYFUNCTION("""COMPUTED_VALUE"""),"18.04.2026")</f>
        <v>18.04.2026</v>
      </c>
      <c r="D431" s="12">
        <f>IFERROR(__xludf.DUMMYFUNCTION("""COMPUTED_VALUE"""),0.7916666666678793)</f>
        <v>0.7916666667</v>
      </c>
      <c r="E431" s="12">
        <f>IFERROR(__xludf.DUMMYFUNCTION("""COMPUTED_VALUE"""),0.8541666666678793)</f>
        <v>0.8541666667</v>
      </c>
      <c r="F431" s="11" t="str">
        <f>IFERROR(__xludf.DUMMYFUNCTION("""COMPUTED_VALUE"""),"ETE281.13")</f>
        <v>ETE281.13</v>
      </c>
      <c r="G431" s="11" t="str">
        <f>IFERROR(__xludf.DUMMYFUNCTION("""COMPUTED_VALUE"""),"Communication Theory")</f>
        <v>Communication Theory</v>
      </c>
      <c r="H431" s="13">
        <f>IFERROR(__xludf.DUMMYFUNCTION("""COMPUTED_VALUE"""),26.0)</f>
        <v>26</v>
      </c>
      <c r="I431" s="11" t="str">
        <f>IFERROR(__xludf.DUMMYFUNCTION("""COMPUTED_VALUE"""),"[SW] Mohammad Shamim Waheed")</f>
        <v>[SW] Mohammad Shamim Waheed</v>
      </c>
      <c r="J431" s="13">
        <f t="shared" si="1"/>
        <v>-1</v>
      </c>
    </row>
    <row r="432">
      <c r="A432" s="11" t="str">
        <f>IFERROR(__xludf.DUMMYFUNCTION("""COMPUTED_VALUE"""),"C")</f>
        <v>C</v>
      </c>
      <c r="B432" s="11" t="str">
        <f>IFERROR(__xludf.DUMMYFUNCTION("""COMPUTED_VALUE"""),"Slot - 07")</f>
        <v>Slot - 07</v>
      </c>
      <c r="C432" s="11" t="str">
        <f>IFERROR(__xludf.DUMMYFUNCTION("""COMPUTED_VALUE"""),"15.04.2026")</f>
        <v>15.04.2026</v>
      </c>
      <c r="D432" s="12">
        <f>IFERROR(__xludf.DUMMYFUNCTION("""COMPUTED_VALUE"""),0.3541666666678793)</f>
        <v>0.3541666667</v>
      </c>
      <c r="E432" s="12">
        <f>IFERROR(__xludf.DUMMYFUNCTION("""COMPUTED_VALUE"""),0.4166666666678793)</f>
        <v>0.4166666667</v>
      </c>
      <c r="F432" s="11" t="str">
        <f>IFERROR(__xludf.DUMMYFUNCTION("""COMPUTED_VALUE"""),"ECO461.7")</f>
        <v>ECO461.7</v>
      </c>
      <c r="G432" s="11" t="str">
        <f>IFERROR(__xludf.DUMMYFUNCTION("""COMPUTED_VALUE"""),"Introduction to Economics")</f>
        <v>Introduction to Economics</v>
      </c>
      <c r="H432" s="13">
        <f>IFERROR(__xludf.DUMMYFUNCTION("""COMPUTED_VALUE"""),42.0)</f>
        <v>42</v>
      </c>
      <c r="I432" s="11" t="str">
        <f>IFERROR(__xludf.DUMMYFUNCTION("""COMPUTED_VALUE"""),"[TAFA] Tasnova Farheem")</f>
        <v>[TAFA] Tasnova Farheem</v>
      </c>
      <c r="J432" s="13">
        <f t="shared" si="1"/>
        <v>1</v>
      </c>
    </row>
    <row r="433">
      <c r="A433" s="11" t="str">
        <f>IFERROR(__xludf.DUMMYFUNCTION("""COMPUTED_VALUE"""),"C")</f>
        <v>C</v>
      </c>
      <c r="B433" s="11" t="str">
        <f>IFERROR(__xludf.DUMMYFUNCTION("""COMPUTED_VALUE"""),"Slot - 06")</f>
        <v>Slot - 06</v>
      </c>
      <c r="C433" s="11" t="str">
        <f>IFERROR(__xludf.DUMMYFUNCTION("""COMPUTED_VALUE"""),"13.04.2026")</f>
        <v>13.04.2026</v>
      </c>
      <c r="D433" s="12">
        <f>IFERROR(__xludf.DUMMYFUNCTION("""COMPUTED_VALUE"""),0.6041666666678793)</f>
        <v>0.6041666667</v>
      </c>
      <c r="E433" s="12">
        <f>IFERROR(__xludf.DUMMYFUNCTION("""COMPUTED_VALUE"""),0.6666666666678793)</f>
        <v>0.6666666667</v>
      </c>
      <c r="F433" s="11" t="str">
        <f>IFERROR(__xludf.DUMMYFUNCTION("""COMPUTED_VALUE"""),"ENG103.35")</f>
        <v>ENG103.35</v>
      </c>
      <c r="G433" s="11" t="str">
        <f>IFERROR(__xludf.DUMMYFUNCTION("""COMPUTED_VALUE"""),"Advanced English Skills")</f>
        <v>Advanced English Skills</v>
      </c>
      <c r="H433" s="13">
        <f>IFERROR(__xludf.DUMMYFUNCTION("""COMPUTED_VALUE"""),39.0)</f>
        <v>39</v>
      </c>
      <c r="I433" s="11" t="str">
        <f>IFERROR(__xludf.DUMMYFUNCTION("""COMPUTED_VALUE"""),"[TAH] Tanjila Hossen")</f>
        <v>[TAH] Tanjila Hossen</v>
      </c>
      <c r="J433" s="13">
        <f t="shared" si="1"/>
        <v>-1</v>
      </c>
    </row>
    <row r="434">
      <c r="A434" s="11" t="str">
        <f>IFERROR(__xludf.DUMMYFUNCTION("""COMPUTED_VALUE"""),"C")</f>
        <v>C</v>
      </c>
      <c r="B434" s="11" t="str">
        <f>IFERROR(__xludf.DUMMYFUNCTION("""COMPUTED_VALUE"""),"Slot - 22")</f>
        <v>Slot - 22</v>
      </c>
      <c r="C434" s="11" t="str">
        <f>IFERROR(__xludf.DUMMYFUNCTION("""COMPUTED_VALUE"""),"21.04.2026")</f>
        <v>21.04.2026</v>
      </c>
      <c r="D434" s="12">
        <f>IFERROR(__xludf.DUMMYFUNCTION("""COMPUTED_VALUE"""),0.3541666666678793)</f>
        <v>0.3541666667</v>
      </c>
      <c r="E434" s="12">
        <f>IFERROR(__xludf.DUMMYFUNCTION("""COMPUTED_VALUE"""),0.4166666666678793)</f>
        <v>0.4166666667</v>
      </c>
      <c r="F434" s="11" t="str">
        <f>IFERROR(__xludf.DUMMYFUNCTION("""COMPUTED_VALUE"""),"CSE263.3")</f>
        <v>CSE263.3</v>
      </c>
      <c r="G434" s="11" t="str">
        <f>IFERROR(__xludf.DUMMYFUNCTION("""COMPUTED_VALUE"""),"Digital Logic Design")</f>
        <v>Digital Logic Design</v>
      </c>
      <c r="H434" s="13">
        <f>IFERROR(__xludf.DUMMYFUNCTION("""COMPUTED_VALUE"""),39.0)</f>
        <v>39</v>
      </c>
      <c r="I434" s="11" t="str">
        <f>IFERROR(__xludf.DUMMYFUNCTION("""COMPUTED_VALUE"""),"[TAJO] Tanjina Oriana")</f>
        <v>[TAJO] Tanjina Oriana</v>
      </c>
      <c r="J434" s="13">
        <f t="shared" si="1"/>
        <v>1</v>
      </c>
    </row>
    <row r="435">
      <c r="A435" s="11" t="str">
        <f>IFERROR(__xludf.DUMMYFUNCTION("""COMPUTED_VALUE"""),"C")</f>
        <v>C</v>
      </c>
      <c r="B435" s="11" t="str">
        <f>IFERROR(__xludf.DUMMYFUNCTION("""COMPUTED_VALUE"""),"Slot - 22")</f>
        <v>Slot - 22</v>
      </c>
      <c r="C435" s="11" t="str">
        <f>IFERROR(__xludf.DUMMYFUNCTION("""COMPUTED_VALUE"""),"21.04.2026")</f>
        <v>21.04.2026</v>
      </c>
      <c r="D435" s="12">
        <f>IFERROR(__xludf.DUMMYFUNCTION("""COMPUTED_VALUE"""),0.3541666666678793)</f>
        <v>0.3541666667</v>
      </c>
      <c r="E435" s="12">
        <f>IFERROR(__xludf.DUMMYFUNCTION("""COMPUTED_VALUE"""),0.4166666666678793)</f>
        <v>0.4166666667</v>
      </c>
      <c r="F435" s="11" t="str">
        <f>IFERROR(__xludf.DUMMYFUNCTION("""COMPUTED_VALUE"""),"CSE263.4")</f>
        <v>CSE263.4</v>
      </c>
      <c r="G435" s="11" t="str">
        <f>IFERROR(__xludf.DUMMYFUNCTION("""COMPUTED_VALUE"""),"Digital Logic Design")</f>
        <v>Digital Logic Design</v>
      </c>
      <c r="H435" s="13">
        <f>IFERROR(__xludf.DUMMYFUNCTION("""COMPUTED_VALUE"""),39.0)</f>
        <v>39</v>
      </c>
      <c r="I435" s="11" t="str">
        <f>IFERROR(__xludf.DUMMYFUNCTION("""COMPUTED_VALUE"""),"[TAJO] Tanjina Oriana")</f>
        <v>[TAJO] Tanjina Oriana</v>
      </c>
      <c r="J435" s="13">
        <f t="shared" si="1"/>
        <v>1</v>
      </c>
    </row>
    <row r="436">
      <c r="A436" s="11" t="str">
        <f>IFERROR(__xludf.DUMMYFUNCTION("""COMPUTED_VALUE"""),"C")</f>
        <v>C</v>
      </c>
      <c r="B436" s="11" t="str">
        <f>IFERROR(__xludf.DUMMYFUNCTION("""COMPUTED_VALUE"""),"Slot - 22")</f>
        <v>Slot - 22</v>
      </c>
      <c r="C436" s="11" t="str">
        <f>IFERROR(__xludf.DUMMYFUNCTION("""COMPUTED_VALUE"""),"21.04.2026")</f>
        <v>21.04.2026</v>
      </c>
      <c r="D436" s="12">
        <f>IFERROR(__xludf.DUMMYFUNCTION("""COMPUTED_VALUE"""),0.3541666666678793)</f>
        <v>0.3541666667</v>
      </c>
      <c r="E436" s="12">
        <f>IFERROR(__xludf.DUMMYFUNCTION("""COMPUTED_VALUE"""),0.4166666666678793)</f>
        <v>0.4166666667</v>
      </c>
      <c r="F436" s="11" t="str">
        <f>IFERROR(__xludf.DUMMYFUNCTION("""COMPUTED_VALUE"""),"CSE263.5")</f>
        <v>CSE263.5</v>
      </c>
      <c r="G436" s="11" t="str">
        <f>IFERROR(__xludf.DUMMYFUNCTION("""COMPUTED_VALUE"""),"Digital Logic Design")</f>
        <v>Digital Logic Design</v>
      </c>
      <c r="H436" s="13">
        <f>IFERROR(__xludf.DUMMYFUNCTION("""COMPUTED_VALUE"""),38.0)</f>
        <v>38</v>
      </c>
      <c r="I436" s="11" t="str">
        <f>IFERROR(__xludf.DUMMYFUNCTION("""COMPUTED_VALUE"""),"[TAJO] Tanjina Oriana")</f>
        <v>[TAJO] Tanjina Oriana</v>
      </c>
      <c r="J436" s="13">
        <f t="shared" si="1"/>
        <v>1</v>
      </c>
    </row>
    <row r="437">
      <c r="A437" s="11" t="str">
        <f>IFERROR(__xludf.DUMMYFUNCTION("""COMPUTED_VALUE"""),"C")</f>
        <v>C</v>
      </c>
      <c r="B437" s="11" t="str">
        <f>IFERROR(__xludf.DUMMYFUNCTION("""COMPUTED_VALUE"""),"Slot - 24")</f>
        <v>Slot - 24</v>
      </c>
      <c r="C437" s="11" t="str">
        <f>IFERROR(__xludf.DUMMYFUNCTION("""COMPUTED_VALUE"""),"21.04.2026")</f>
        <v>21.04.2026</v>
      </c>
      <c r="D437" s="12">
        <f>IFERROR(__xludf.DUMMYFUNCTION("""COMPUTED_VALUE"""),0.6041666666678793)</f>
        <v>0.6041666667</v>
      </c>
      <c r="E437" s="12">
        <f>IFERROR(__xludf.DUMMYFUNCTION("""COMPUTED_VALUE"""),0.6666666666678793)</f>
        <v>0.6666666667</v>
      </c>
      <c r="F437" s="11" t="str">
        <f>IFERROR(__xludf.DUMMYFUNCTION("""COMPUTED_VALUE"""),"CSE443.3")</f>
        <v>CSE443.3</v>
      </c>
      <c r="G437" s="11" t="str">
        <f>IFERROR(__xludf.DUMMYFUNCTION("""COMPUTED_VALUE"""),"Computer Graphics &amp; Animation")</f>
        <v>Computer Graphics &amp; Animation</v>
      </c>
      <c r="H437" s="13">
        <f>IFERROR(__xludf.DUMMYFUNCTION("""COMPUTED_VALUE"""),36.0)</f>
        <v>36</v>
      </c>
      <c r="I437" s="11" t="str">
        <f>IFERROR(__xludf.DUMMYFUNCTION("""COMPUTED_VALUE"""),"[TAJO] Tanjina Oriana")</f>
        <v>[TAJO] Tanjina Oriana</v>
      </c>
      <c r="J437" s="13">
        <f t="shared" si="1"/>
        <v>1</v>
      </c>
    </row>
    <row r="438">
      <c r="A438" s="11" t="str">
        <f>IFERROR(__xludf.DUMMYFUNCTION("""COMPUTED_VALUE"""),"D")</f>
        <v>D</v>
      </c>
      <c r="B438" s="11" t="str">
        <f>IFERROR(__xludf.DUMMYFUNCTION("""COMPUTED_VALUE"""),"Slot - B")</f>
        <v>Slot - B</v>
      </c>
      <c r="C438" s="11" t="str">
        <f>IFERROR(__xludf.DUMMYFUNCTION("""COMPUTED_VALUE"""),"17.04.2026")</f>
        <v>17.04.2026</v>
      </c>
      <c r="D438" s="12">
        <f>IFERROR(__xludf.DUMMYFUNCTION("""COMPUTED_VALUE"""),0.4791666666678793)</f>
        <v>0.4791666667</v>
      </c>
      <c r="E438" s="12">
        <f>IFERROR(__xludf.DUMMYFUNCTION("""COMPUTED_VALUE"""),0.5416666666678793)</f>
        <v>0.5416666667</v>
      </c>
      <c r="F438" s="11" t="str">
        <f>IFERROR(__xludf.DUMMYFUNCTION("""COMPUTED_VALUE"""),"CSE341.11")</f>
        <v>CSE341.11</v>
      </c>
      <c r="G438" s="11" t="str">
        <f>IFERROR(__xludf.DUMMYFUNCTION("""COMPUTED_VALUE"""),"Computer Networking")</f>
        <v>Computer Networking</v>
      </c>
      <c r="H438" s="13">
        <f>IFERROR(__xludf.DUMMYFUNCTION("""COMPUTED_VALUE"""),40.0)</f>
        <v>40</v>
      </c>
      <c r="I438" s="11" t="str">
        <f>IFERROR(__xludf.DUMMYFUNCTION("""COMPUTED_VALUE"""),"[TANA] Tanvir Ahmed")</f>
        <v>[TANA] Tanvir Ahmed</v>
      </c>
      <c r="J438" s="13">
        <f t="shared" si="1"/>
        <v>-1</v>
      </c>
    </row>
    <row r="439">
      <c r="A439" s="11" t="str">
        <f>IFERROR(__xludf.DUMMYFUNCTION("""COMPUTED_VALUE"""),"C")</f>
        <v>C</v>
      </c>
      <c r="B439" s="11" t="str">
        <f>IFERROR(__xludf.DUMMYFUNCTION("""COMPUTED_VALUE"""),"Slot - 20")</f>
        <v>Slot - 20</v>
      </c>
      <c r="C439" s="11" t="str">
        <f>IFERROR(__xludf.DUMMYFUNCTION("""COMPUTED_VALUE"""),"20.04.2026")</f>
        <v>20.04.2026</v>
      </c>
      <c r="D439" s="12">
        <f>IFERROR(__xludf.DUMMYFUNCTION("""COMPUTED_VALUE"""),0.4791666666678793)</f>
        <v>0.4791666667</v>
      </c>
      <c r="E439" s="12">
        <f>IFERROR(__xludf.DUMMYFUNCTION("""COMPUTED_VALUE"""),0.5416666666678793)</f>
        <v>0.5416666667</v>
      </c>
      <c r="F439" s="11" t="str">
        <f>IFERROR(__xludf.DUMMYFUNCTION("""COMPUTED_VALUE"""),"ETE281.9")</f>
        <v>ETE281.9</v>
      </c>
      <c r="G439" s="11" t="str">
        <f>IFERROR(__xludf.DUMMYFUNCTION("""COMPUTED_VALUE"""),"Communication Theory")</f>
        <v>Communication Theory</v>
      </c>
      <c r="H439" s="13">
        <f>IFERROR(__xludf.DUMMYFUNCTION("""COMPUTED_VALUE"""),40.0)</f>
        <v>40</v>
      </c>
      <c r="I439" s="11" t="str">
        <f>IFERROR(__xludf.DUMMYFUNCTION("""COMPUTED_VALUE"""),"[TANA] Tanvir Ahmed")</f>
        <v>[TANA] Tanvir Ahmed</v>
      </c>
      <c r="J439" s="13">
        <f t="shared" si="1"/>
        <v>-1</v>
      </c>
    </row>
    <row r="440">
      <c r="A440" s="11" t="str">
        <f>IFERROR(__xludf.DUMMYFUNCTION("""COMPUTED_VALUE"""),"C")</f>
        <v>C</v>
      </c>
      <c r="B440" s="11" t="str">
        <f>IFERROR(__xludf.DUMMYFUNCTION("""COMPUTED_VALUE"""),"Slot - 13")</f>
        <v>Slot - 13</v>
      </c>
      <c r="C440" s="11" t="str">
        <f>IFERROR(__xludf.DUMMYFUNCTION("""COMPUTED_VALUE"""),"18.04.2026")</f>
        <v>18.04.2026</v>
      </c>
      <c r="D440" s="12">
        <f>IFERROR(__xludf.DUMMYFUNCTION("""COMPUTED_VALUE"""),0.3541666666678793)</f>
        <v>0.3541666667</v>
      </c>
      <c r="E440" s="12">
        <f>IFERROR(__xludf.DUMMYFUNCTION("""COMPUTED_VALUE"""),0.4166666666678793)</f>
        <v>0.4166666667</v>
      </c>
      <c r="F440" s="11" t="str">
        <f>IFERROR(__xludf.DUMMYFUNCTION("""COMPUTED_VALUE"""),"SOC341.9")</f>
        <v>SOC341.9</v>
      </c>
      <c r="G440" s="11" t="str">
        <f>IFERROR(__xludf.DUMMYFUNCTION("""COMPUTED_VALUE"""),"Engineering Ethics")</f>
        <v>Engineering Ethics</v>
      </c>
      <c r="H440" s="13">
        <f>IFERROR(__xludf.DUMMYFUNCTION("""COMPUTED_VALUE"""),42.0)</f>
        <v>42</v>
      </c>
      <c r="I440" s="11" t="str">
        <f>IFERROR(__xludf.DUMMYFUNCTION("""COMPUTED_VALUE"""),"[TARH] Taohidur Rahman")</f>
        <v>[TARH] Taohidur Rahman</v>
      </c>
      <c r="J440" s="13">
        <f t="shared" si="1"/>
        <v>1</v>
      </c>
    </row>
    <row r="441">
      <c r="A441" s="11" t="str">
        <f>IFERROR(__xludf.DUMMYFUNCTION("""COMPUTED_VALUE"""),"C")</f>
        <v>C</v>
      </c>
      <c r="B441" s="11" t="str">
        <f>IFERROR(__xludf.DUMMYFUNCTION("""COMPUTED_VALUE"""),"Slot - 13")</f>
        <v>Slot - 13</v>
      </c>
      <c r="C441" s="11" t="str">
        <f>IFERROR(__xludf.DUMMYFUNCTION("""COMPUTED_VALUE"""),"18.04.2026")</f>
        <v>18.04.2026</v>
      </c>
      <c r="D441" s="12">
        <f>IFERROR(__xludf.DUMMYFUNCTION("""COMPUTED_VALUE"""),0.3541666666678793)</f>
        <v>0.3541666667</v>
      </c>
      <c r="E441" s="12">
        <f>IFERROR(__xludf.DUMMYFUNCTION("""COMPUTED_VALUE"""),0.4166666666678793)</f>
        <v>0.4166666667</v>
      </c>
      <c r="F441" s="11" t="str">
        <f>IFERROR(__xludf.DUMMYFUNCTION("""COMPUTED_VALUE"""),"SOC341.10")</f>
        <v>SOC341.10</v>
      </c>
      <c r="G441" s="11" t="str">
        <f>IFERROR(__xludf.DUMMYFUNCTION("""COMPUTED_VALUE"""),"Engineering Ethics")</f>
        <v>Engineering Ethics</v>
      </c>
      <c r="H441" s="13">
        <f>IFERROR(__xludf.DUMMYFUNCTION("""COMPUTED_VALUE"""),42.0)</f>
        <v>42</v>
      </c>
      <c r="I441" s="11" t="str">
        <f>IFERROR(__xludf.DUMMYFUNCTION("""COMPUTED_VALUE"""),"[TARH] Taohidur Rahman")</f>
        <v>[TARH] Taohidur Rahman</v>
      </c>
      <c r="J441" s="13">
        <f t="shared" si="1"/>
        <v>1</v>
      </c>
    </row>
    <row r="442">
      <c r="A442" s="11" t="str">
        <f>IFERROR(__xludf.DUMMYFUNCTION("""COMPUTED_VALUE"""),"D")</f>
        <v>D</v>
      </c>
      <c r="B442" s="11" t="str">
        <f>IFERROR(__xludf.DUMMYFUNCTION("""COMPUTED_VALUE"""),"Slot - E")</f>
        <v>Slot - E</v>
      </c>
      <c r="C442" s="11" t="str">
        <f>IFERROR(__xludf.DUMMYFUNCTION("""COMPUTED_VALUE"""),"18.04.2026")</f>
        <v>18.04.2026</v>
      </c>
      <c r="D442" s="12">
        <f>IFERROR(__xludf.DUMMYFUNCTION("""COMPUTED_VALUE"""),0.6666666666678793)</f>
        <v>0.6666666667</v>
      </c>
      <c r="E442" s="12">
        <f>IFERROR(__xludf.DUMMYFUNCTION("""COMPUTED_VALUE"""),0.7291666666678793)</f>
        <v>0.7291666667</v>
      </c>
      <c r="F442" s="11" t="str">
        <f>IFERROR(__xludf.DUMMYFUNCTION("""COMPUTED_VALUE"""),"CSE263.14")</f>
        <v>CSE263.14</v>
      </c>
      <c r="G442" s="11" t="str">
        <f>IFERROR(__xludf.DUMMYFUNCTION("""COMPUTED_VALUE"""),"Digital Logic Design")</f>
        <v>Digital Logic Design</v>
      </c>
      <c r="H442" s="13">
        <f>IFERROR(__xludf.DUMMYFUNCTION("""COMPUTED_VALUE"""),37.0)</f>
        <v>37</v>
      </c>
      <c r="I442" s="11" t="str">
        <f>IFERROR(__xludf.DUMMYFUNCTION("""COMPUTED_VALUE"""),"[TAT] Dr. Taslim Taher")</f>
        <v>[TAT] Dr. Taslim Taher</v>
      </c>
      <c r="J442" s="13">
        <f t="shared" si="1"/>
        <v>-1</v>
      </c>
    </row>
    <row r="443">
      <c r="A443" s="11" t="str">
        <f>IFERROR(__xludf.DUMMYFUNCTION("""COMPUTED_VALUE"""),"C")</f>
        <v>C</v>
      </c>
      <c r="B443" s="11" t="str">
        <f>IFERROR(__xludf.DUMMYFUNCTION("""COMPUTED_VALUE"""),"Slot - 07")</f>
        <v>Slot - 07</v>
      </c>
      <c r="C443" s="11" t="str">
        <f>IFERROR(__xludf.DUMMYFUNCTION("""COMPUTED_VALUE"""),"15.04.2026")</f>
        <v>15.04.2026</v>
      </c>
      <c r="D443" s="12">
        <f>IFERROR(__xludf.DUMMYFUNCTION("""COMPUTED_VALUE"""),0.3541666666678793)</f>
        <v>0.3541666667</v>
      </c>
      <c r="E443" s="12">
        <f>IFERROR(__xludf.DUMMYFUNCTION("""COMPUTED_VALUE"""),0.4166666666678793)</f>
        <v>0.4166666667</v>
      </c>
      <c r="F443" s="11" t="str">
        <f>IFERROR(__xludf.DUMMYFUNCTION("""COMPUTED_VALUE"""),"ACT141.1")</f>
        <v>ACT141.1</v>
      </c>
      <c r="G443" s="11" t="str">
        <f>IFERROR(__xludf.DUMMYFUNCTION("""COMPUTED_VALUE"""),"Introduction to Accounting")</f>
        <v>Introduction to Accounting</v>
      </c>
      <c r="H443" s="13">
        <f>IFERROR(__xludf.DUMMYFUNCTION("""COMPUTED_VALUE"""),42.0)</f>
        <v>42</v>
      </c>
      <c r="I443" s="11" t="str">
        <f>IFERROR(__xludf.DUMMYFUNCTION("""COMPUTED_VALUE"""),"[TBK] Tasnim Binte Kabir")</f>
        <v>[TBK] Tasnim Binte Kabir</v>
      </c>
      <c r="J443" s="13">
        <f t="shared" si="1"/>
        <v>1</v>
      </c>
    </row>
    <row r="444">
      <c r="A444" s="11" t="str">
        <f>IFERROR(__xludf.DUMMYFUNCTION("""COMPUTED_VALUE"""),"C")</f>
        <v>C</v>
      </c>
      <c r="B444" s="11" t="str">
        <f>IFERROR(__xludf.DUMMYFUNCTION("""COMPUTED_VALUE"""),"Slot - 08")</f>
        <v>Slot - 08</v>
      </c>
      <c r="C444" s="11" t="str">
        <f>IFERROR(__xludf.DUMMYFUNCTION("""COMPUTED_VALUE"""),"15.04.2026")</f>
        <v>15.04.2026</v>
      </c>
      <c r="D444" s="12">
        <f>IFERROR(__xludf.DUMMYFUNCTION("""COMPUTED_VALUE"""),0.4791666666678793)</f>
        <v>0.4791666667</v>
      </c>
      <c r="E444" s="12">
        <f>IFERROR(__xludf.DUMMYFUNCTION("""COMPUTED_VALUE"""),0.5416666666678793)</f>
        <v>0.5416666667</v>
      </c>
      <c r="F444" s="11" t="str">
        <f>IFERROR(__xludf.DUMMYFUNCTION("""COMPUTED_VALUE"""),"GED1111.7")</f>
        <v>GED1111.7</v>
      </c>
      <c r="G444" s="11" t="str">
        <f>IFERROR(__xludf.DUMMYFUNCTION("""COMPUTED_VALUE"""),"Principles of Accounting")</f>
        <v>Principles of Accounting</v>
      </c>
      <c r="H444" s="13">
        <f>IFERROR(__xludf.DUMMYFUNCTION("""COMPUTED_VALUE"""),32.0)</f>
        <v>32</v>
      </c>
      <c r="I444" s="11" t="str">
        <f>IFERROR(__xludf.DUMMYFUNCTION("""COMPUTED_VALUE"""),"[TBK] Tasnim Binte Kabir")</f>
        <v>[TBK] Tasnim Binte Kabir</v>
      </c>
      <c r="J444" s="13">
        <f t="shared" si="1"/>
        <v>1</v>
      </c>
    </row>
    <row r="445">
      <c r="A445" s="11" t="str">
        <f>IFERROR(__xludf.DUMMYFUNCTION("""COMPUTED_VALUE"""),"D")</f>
        <v>D</v>
      </c>
      <c r="B445" s="11" t="str">
        <f>IFERROR(__xludf.DUMMYFUNCTION("""COMPUTED_VALUE"""),"Slot - F")</f>
        <v>Slot - F</v>
      </c>
      <c r="C445" s="11" t="str">
        <f>IFERROR(__xludf.DUMMYFUNCTION("""COMPUTED_VALUE"""),"18.04.2026")</f>
        <v>18.04.2026</v>
      </c>
      <c r="D445" s="12">
        <f>IFERROR(__xludf.DUMMYFUNCTION("""COMPUTED_VALUE"""),0.7916666666678793)</f>
        <v>0.7916666667</v>
      </c>
      <c r="E445" s="12">
        <f>IFERROR(__xludf.DUMMYFUNCTION("""COMPUTED_VALUE"""),0.8541666666678793)</f>
        <v>0.8541666667</v>
      </c>
      <c r="F445" s="11" t="str">
        <f>IFERROR(__xludf.DUMMYFUNCTION("""COMPUTED_VALUE"""),"CSE365.13")</f>
        <v>CSE365.13</v>
      </c>
      <c r="G445" s="11" t="str">
        <f>IFERROR(__xludf.DUMMYFUNCTION("""COMPUTED_VALUE"""),"Artificial Intelligence")</f>
        <v>Artificial Intelligence</v>
      </c>
      <c r="H445" s="13">
        <f>IFERROR(__xludf.DUMMYFUNCTION("""COMPUTED_VALUE"""),32.0)</f>
        <v>32</v>
      </c>
      <c r="I445" s="11" t="str">
        <f>IFERROR(__xludf.DUMMYFUNCTION("""COMPUTED_VALUE"""),"[TMD] Tashreef Muhammad")</f>
        <v>[TMD] Tashreef Muhammad</v>
      </c>
      <c r="J445" s="13">
        <f t="shared" si="1"/>
        <v>-1</v>
      </c>
    </row>
    <row r="446">
      <c r="A446" s="11" t="str">
        <f>IFERROR(__xludf.DUMMYFUNCTION("""COMPUTED_VALUE"""),"C")</f>
        <v>C</v>
      </c>
      <c r="B446" s="11" t="str">
        <f>IFERROR(__xludf.DUMMYFUNCTION("""COMPUTED_VALUE"""),"Slot - 21")</f>
        <v>Slot - 21</v>
      </c>
      <c r="C446" s="11" t="str">
        <f>IFERROR(__xludf.DUMMYFUNCTION("""COMPUTED_VALUE"""),"20.04.2026")</f>
        <v>20.04.2026</v>
      </c>
      <c r="D446" s="12">
        <f>IFERROR(__xludf.DUMMYFUNCTION("""COMPUTED_VALUE"""),0.6041666666678793)</f>
        <v>0.6041666667</v>
      </c>
      <c r="E446" s="12">
        <f>IFERROR(__xludf.DUMMYFUNCTION("""COMPUTED_VALUE"""),0.6666666666678793)</f>
        <v>0.6666666667</v>
      </c>
      <c r="F446" s="11" t="str">
        <f>IFERROR(__xludf.DUMMYFUNCTION("""COMPUTED_VALUE"""),"CSE381.1")</f>
        <v>CSE381.1</v>
      </c>
      <c r="G446" s="11" t="str">
        <f>IFERROR(__xludf.DUMMYFUNCTION("""COMPUTED_VALUE"""),"Introduction to Embedded Systems")</f>
        <v>Introduction to Embedded Systems</v>
      </c>
      <c r="H446" s="13">
        <f>IFERROR(__xludf.DUMMYFUNCTION("""COMPUTED_VALUE"""),24.0)</f>
        <v>24</v>
      </c>
      <c r="I446" s="11" t="str">
        <f>IFERROR(__xludf.DUMMYFUNCTION("""COMPUTED_VALUE"""),"[TMD] Tashreef Muhammad")</f>
        <v>[TMD] Tashreef Muhammad</v>
      </c>
      <c r="J446" s="13">
        <f t="shared" si="1"/>
        <v>-1</v>
      </c>
    </row>
    <row r="447">
      <c r="A447" s="11" t="str">
        <f>IFERROR(__xludf.DUMMYFUNCTION("""COMPUTED_VALUE"""),"C")</f>
        <v>C</v>
      </c>
      <c r="B447" s="11" t="str">
        <f>IFERROR(__xludf.DUMMYFUNCTION("""COMPUTED_VALUE"""),"Slot - 21")</f>
        <v>Slot - 21</v>
      </c>
      <c r="C447" s="11" t="str">
        <f>IFERROR(__xludf.DUMMYFUNCTION("""COMPUTED_VALUE"""),"20.04.2026")</f>
        <v>20.04.2026</v>
      </c>
      <c r="D447" s="12">
        <f>IFERROR(__xludf.DUMMYFUNCTION("""COMPUTED_VALUE"""),0.6041666666678793)</f>
        <v>0.6041666667</v>
      </c>
      <c r="E447" s="12">
        <f>IFERROR(__xludf.DUMMYFUNCTION("""COMPUTED_VALUE"""),0.6666666666678793)</f>
        <v>0.6666666667</v>
      </c>
      <c r="F447" s="11" t="str">
        <f>IFERROR(__xludf.DUMMYFUNCTION("""COMPUTED_VALUE"""),"CSE381.2")</f>
        <v>CSE381.2</v>
      </c>
      <c r="G447" s="11" t="str">
        <f>IFERROR(__xludf.DUMMYFUNCTION("""COMPUTED_VALUE"""),"Introduction to Embedded Systems")</f>
        <v>Introduction to Embedded Systems</v>
      </c>
      <c r="H447" s="13">
        <f>IFERROR(__xludf.DUMMYFUNCTION("""COMPUTED_VALUE"""),25.0)</f>
        <v>25</v>
      </c>
      <c r="I447" s="11" t="str">
        <f>IFERROR(__xludf.DUMMYFUNCTION("""COMPUTED_VALUE"""),"[TMD] Tashreef Muhammad")</f>
        <v>[TMD] Tashreef Muhammad</v>
      </c>
      <c r="J447" s="13">
        <f t="shared" si="1"/>
        <v>-1</v>
      </c>
    </row>
    <row r="448">
      <c r="A448" s="11" t="str">
        <f>IFERROR(__xludf.DUMMYFUNCTION("""COMPUTED_VALUE"""),"C")</f>
        <v>C</v>
      </c>
      <c r="B448" s="11" t="str">
        <f>IFERROR(__xludf.DUMMYFUNCTION("""COMPUTED_VALUE"""),"Slot - 16")</f>
        <v>Slot - 16</v>
      </c>
      <c r="C448" s="11" t="str">
        <f>IFERROR(__xludf.DUMMYFUNCTION("""COMPUTED_VALUE"""),"19.04.2026")</f>
        <v>19.04.2026</v>
      </c>
      <c r="D448" s="12">
        <f>IFERROR(__xludf.DUMMYFUNCTION("""COMPUTED_VALUE"""),0.3541666666678793)</f>
        <v>0.3541666667</v>
      </c>
      <c r="E448" s="12">
        <f>IFERROR(__xludf.DUMMYFUNCTION("""COMPUTED_VALUE"""),0.4166666666678793)</f>
        <v>0.4166666667</v>
      </c>
      <c r="F448" s="11" t="str">
        <f>IFERROR(__xludf.DUMMYFUNCTION("""COMPUTED_VALUE"""),"PHY1103.3")</f>
        <v>PHY1103.3</v>
      </c>
      <c r="G448" s="11" t="str">
        <f>IFERROR(__xludf.DUMMYFUNCTION("""COMPUTED_VALUE"""),"Physics I")</f>
        <v>Physics I</v>
      </c>
      <c r="H448" s="13">
        <f>IFERROR(__xludf.DUMMYFUNCTION("""COMPUTED_VALUE"""),30.0)</f>
        <v>30</v>
      </c>
      <c r="I448" s="11" t="str">
        <f>IFERROR(__xludf.DUMMYFUNCTION("""COMPUTED_VALUE"""),"[TNHR] Tanver Hossain Refat")</f>
        <v>[TNHR] Tanver Hossain Refat</v>
      </c>
      <c r="J448" s="13">
        <f t="shared" si="1"/>
        <v>1</v>
      </c>
    </row>
    <row r="449">
      <c r="A449" s="11" t="str">
        <f>IFERROR(__xludf.DUMMYFUNCTION("""COMPUTED_VALUE"""),"C")</f>
        <v>C</v>
      </c>
      <c r="B449" s="11" t="str">
        <f>IFERROR(__xludf.DUMMYFUNCTION("""COMPUTED_VALUE"""),"Slot - 16")</f>
        <v>Slot - 16</v>
      </c>
      <c r="C449" s="11" t="str">
        <f>IFERROR(__xludf.DUMMYFUNCTION("""COMPUTED_VALUE"""),"19.04.2026")</f>
        <v>19.04.2026</v>
      </c>
      <c r="D449" s="12">
        <f>IFERROR(__xludf.DUMMYFUNCTION("""COMPUTED_VALUE"""),0.3541666666678793)</f>
        <v>0.3541666667</v>
      </c>
      <c r="E449" s="12">
        <f>IFERROR(__xludf.DUMMYFUNCTION("""COMPUTED_VALUE"""),0.4166666666678793)</f>
        <v>0.4166666667</v>
      </c>
      <c r="F449" s="11" t="str">
        <f>IFERROR(__xludf.DUMMYFUNCTION("""COMPUTED_VALUE"""),"PHY161.2")</f>
        <v>PHY161.2</v>
      </c>
      <c r="G449" s="11" t="str">
        <f>IFERROR(__xludf.DUMMYFUNCTION("""COMPUTED_VALUE"""),"Physics I")</f>
        <v>Physics I</v>
      </c>
      <c r="H449" s="13">
        <f>IFERROR(__xludf.DUMMYFUNCTION("""COMPUTED_VALUE"""),41.0)</f>
        <v>41</v>
      </c>
      <c r="I449" s="11" t="str">
        <f>IFERROR(__xludf.DUMMYFUNCTION("""COMPUTED_VALUE"""),"[TNHR] Tanver Hossain Refat")</f>
        <v>[TNHR] Tanver Hossain Refat</v>
      </c>
      <c r="J449" s="13">
        <f t="shared" si="1"/>
        <v>1</v>
      </c>
    </row>
    <row r="450">
      <c r="A450" s="11" t="str">
        <f>IFERROR(__xludf.DUMMYFUNCTION("""COMPUTED_VALUE"""),"C")</f>
        <v>C</v>
      </c>
      <c r="B450" s="11" t="str">
        <f>IFERROR(__xludf.DUMMYFUNCTION("""COMPUTED_VALUE"""),"Slot - 16")</f>
        <v>Slot - 16</v>
      </c>
      <c r="C450" s="11" t="str">
        <f>IFERROR(__xludf.DUMMYFUNCTION("""COMPUTED_VALUE"""),"19.04.2026")</f>
        <v>19.04.2026</v>
      </c>
      <c r="D450" s="12">
        <f>IFERROR(__xludf.DUMMYFUNCTION("""COMPUTED_VALUE"""),0.3541666666678793)</f>
        <v>0.3541666667</v>
      </c>
      <c r="E450" s="12">
        <f>IFERROR(__xludf.DUMMYFUNCTION("""COMPUTED_VALUE"""),0.4166666666678793)</f>
        <v>0.4166666667</v>
      </c>
      <c r="F450" s="11" t="str">
        <f>IFERROR(__xludf.DUMMYFUNCTION("""COMPUTED_VALUE"""),"PHY181.3")</f>
        <v>PHY181.3</v>
      </c>
      <c r="G450" s="11" t="str">
        <f>IFERROR(__xludf.DUMMYFUNCTION("""COMPUTED_VALUE"""),"Physics II")</f>
        <v>Physics II</v>
      </c>
      <c r="H450" s="13">
        <f>IFERROR(__xludf.DUMMYFUNCTION("""COMPUTED_VALUE"""),36.0)</f>
        <v>36</v>
      </c>
      <c r="I450" s="11" t="str">
        <f>IFERROR(__xludf.DUMMYFUNCTION("""COMPUTED_VALUE"""),"[TNHR] Tanver Hossain Refat")</f>
        <v>[TNHR] Tanver Hossain Refat</v>
      </c>
      <c r="J450" s="13">
        <f t="shared" si="1"/>
        <v>1</v>
      </c>
    </row>
    <row r="451">
      <c r="A451" s="11" t="str">
        <f>IFERROR(__xludf.DUMMYFUNCTION("""COMPUTED_VALUE"""),"C")</f>
        <v>C</v>
      </c>
      <c r="B451" s="11" t="str">
        <f>IFERROR(__xludf.DUMMYFUNCTION("""COMPUTED_VALUE"""),"Slot - 16")</f>
        <v>Slot - 16</v>
      </c>
      <c r="C451" s="11" t="str">
        <f>IFERROR(__xludf.DUMMYFUNCTION("""COMPUTED_VALUE"""),"19.04.2026")</f>
        <v>19.04.2026</v>
      </c>
      <c r="D451" s="12">
        <f>IFERROR(__xludf.DUMMYFUNCTION("""COMPUTED_VALUE"""),0.3541666666678793)</f>
        <v>0.3541666667</v>
      </c>
      <c r="E451" s="12">
        <f>IFERROR(__xludf.DUMMYFUNCTION("""COMPUTED_VALUE"""),0.4166666666678793)</f>
        <v>0.4166666667</v>
      </c>
      <c r="F451" s="11" t="str">
        <f>IFERROR(__xludf.DUMMYFUNCTION("""COMPUTED_VALUE"""),"PHY181.4")</f>
        <v>PHY181.4</v>
      </c>
      <c r="G451" s="11" t="str">
        <f>IFERROR(__xludf.DUMMYFUNCTION("""COMPUTED_VALUE"""),"Physics II")</f>
        <v>Physics II</v>
      </c>
      <c r="H451" s="13">
        <f>IFERROR(__xludf.DUMMYFUNCTION("""COMPUTED_VALUE"""),34.0)</f>
        <v>34</v>
      </c>
      <c r="I451" s="11" t="str">
        <f>IFERROR(__xludf.DUMMYFUNCTION("""COMPUTED_VALUE"""),"[TNHR] Tanver Hossain Refat")</f>
        <v>[TNHR] Tanver Hossain Refat</v>
      </c>
      <c r="J451" s="13">
        <f t="shared" si="1"/>
        <v>1</v>
      </c>
    </row>
    <row r="452">
      <c r="A452" s="11" t="str">
        <f>IFERROR(__xludf.DUMMYFUNCTION("""COMPUTED_VALUE"""),"C")</f>
        <v>C</v>
      </c>
      <c r="B452" s="11" t="str">
        <f>IFERROR(__xludf.DUMMYFUNCTION("""COMPUTED_VALUE"""),"Slot - 04")</f>
        <v>Slot - 04</v>
      </c>
      <c r="C452" s="11" t="str">
        <f>IFERROR(__xludf.DUMMYFUNCTION("""COMPUTED_VALUE"""),"13.04.2026")</f>
        <v>13.04.2026</v>
      </c>
      <c r="D452" s="12">
        <f>IFERROR(__xludf.DUMMYFUNCTION("""COMPUTED_VALUE"""),0.3541666666678793)</f>
        <v>0.3541666667</v>
      </c>
      <c r="E452" s="12">
        <f>IFERROR(__xludf.DUMMYFUNCTION("""COMPUTED_VALUE"""),0.4166666666678793)</f>
        <v>0.4166666667</v>
      </c>
      <c r="F452" s="11" t="str">
        <f>IFERROR(__xludf.DUMMYFUNCTION("""COMPUTED_VALUE"""),"ELL1303.4")</f>
        <v>ELL1303.4</v>
      </c>
      <c r="G452" s="11" t="str">
        <f>IFERROR(__xludf.DUMMYFUNCTION("""COMPUTED_VALUE"""),"Advanced English Skills")</f>
        <v>Advanced English Skills</v>
      </c>
      <c r="H452" s="13">
        <f>IFERROR(__xludf.DUMMYFUNCTION("""COMPUTED_VALUE"""),31.0)</f>
        <v>31</v>
      </c>
      <c r="I452" s="11" t="str">
        <f>IFERROR(__xludf.DUMMYFUNCTION("""COMPUTED_VALUE"""),"[TSH] Shuhrat Tishi")</f>
        <v>[TSH] Shuhrat Tishi</v>
      </c>
      <c r="J452" s="13">
        <f t="shared" si="1"/>
        <v>-1</v>
      </c>
    </row>
    <row r="453">
      <c r="A453" s="11" t="str">
        <f>IFERROR(__xludf.DUMMYFUNCTION("""COMPUTED_VALUE"""),"C")</f>
        <v>C</v>
      </c>
      <c r="B453" s="11" t="str">
        <f>IFERROR(__xludf.DUMMYFUNCTION("""COMPUTED_VALUE"""),"Slot - 04")</f>
        <v>Slot - 04</v>
      </c>
      <c r="C453" s="11" t="str">
        <f>IFERROR(__xludf.DUMMYFUNCTION("""COMPUTED_VALUE"""),"13.04.2026")</f>
        <v>13.04.2026</v>
      </c>
      <c r="D453" s="12">
        <f>IFERROR(__xludf.DUMMYFUNCTION("""COMPUTED_VALUE"""),0.3541666666678793)</f>
        <v>0.3541666667</v>
      </c>
      <c r="E453" s="12">
        <f>IFERROR(__xludf.DUMMYFUNCTION("""COMPUTED_VALUE"""),0.4166666666678793)</f>
        <v>0.4166666667</v>
      </c>
      <c r="F453" s="11" t="str">
        <f>IFERROR(__xludf.DUMMYFUNCTION("""COMPUTED_VALUE"""),"ELL1303.6")</f>
        <v>ELL1303.6</v>
      </c>
      <c r="G453" s="11" t="str">
        <f>IFERROR(__xludf.DUMMYFUNCTION("""COMPUTED_VALUE"""),"Advanced English Skills")</f>
        <v>Advanced English Skills</v>
      </c>
      <c r="H453" s="13">
        <f>IFERROR(__xludf.DUMMYFUNCTION("""COMPUTED_VALUE"""),32.0)</f>
        <v>32</v>
      </c>
      <c r="I453" s="11" t="str">
        <f>IFERROR(__xludf.DUMMYFUNCTION("""COMPUTED_VALUE"""),"[TSH] Shuhrat Tishi")</f>
        <v>[TSH] Shuhrat Tishi</v>
      </c>
      <c r="J453" s="13">
        <f t="shared" si="1"/>
        <v>-1</v>
      </c>
    </row>
    <row r="454">
      <c r="A454" s="11" t="str">
        <f>IFERROR(__xludf.DUMMYFUNCTION("""COMPUTED_VALUE"""),"C")</f>
        <v>C</v>
      </c>
      <c r="B454" s="11" t="str">
        <f>IFERROR(__xludf.DUMMYFUNCTION("""COMPUTED_VALUE"""),"Slot - 09")</f>
        <v>Slot - 09</v>
      </c>
      <c r="C454" s="11" t="str">
        <f>IFERROR(__xludf.DUMMYFUNCTION("""COMPUTED_VALUE"""),"15.04.2026")</f>
        <v>15.04.2026</v>
      </c>
      <c r="D454" s="12">
        <f>IFERROR(__xludf.DUMMYFUNCTION("""COMPUTED_VALUE"""),0.6041666666678793)</f>
        <v>0.6041666667</v>
      </c>
      <c r="E454" s="12">
        <f>IFERROR(__xludf.DUMMYFUNCTION("""COMPUTED_VALUE"""),0.6666666666678793)</f>
        <v>0.6666666667</v>
      </c>
      <c r="F454" s="11" t="str">
        <f>IFERROR(__xludf.DUMMYFUNCTION("""COMPUTED_VALUE"""),"ENG105.23")</f>
        <v>ENG105.23</v>
      </c>
      <c r="G454" s="11" t="str">
        <f>IFERROR(__xludf.DUMMYFUNCTION("""COMPUTED_VALUE"""),"Public Speaking")</f>
        <v>Public Speaking</v>
      </c>
      <c r="H454" s="13">
        <f>IFERROR(__xludf.DUMMYFUNCTION("""COMPUTED_VALUE"""),22.0)</f>
        <v>22</v>
      </c>
      <c r="I454" s="11" t="str">
        <f>IFERROR(__xludf.DUMMYFUNCTION("""COMPUTED_VALUE"""),"[TSH] Shuhrat Tishi")</f>
        <v>[TSH] Shuhrat Tishi</v>
      </c>
      <c r="J454" s="13">
        <f t="shared" si="1"/>
        <v>-1</v>
      </c>
    </row>
    <row r="455">
      <c r="A455" s="11" t="str">
        <f>IFERROR(__xludf.DUMMYFUNCTION("""COMPUTED_VALUE"""),"C")</f>
        <v>C</v>
      </c>
      <c r="B455" s="11" t="str">
        <f>IFERROR(__xludf.DUMMYFUNCTION("""COMPUTED_VALUE"""),"Slot - 24")</f>
        <v>Slot - 24</v>
      </c>
      <c r="C455" s="11" t="str">
        <f>IFERROR(__xludf.DUMMYFUNCTION("""COMPUTED_VALUE"""),"21.04.2026")</f>
        <v>21.04.2026</v>
      </c>
      <c r="D455" s="12">
        <f>IFERROR(__xludf.DUMMYFUNCTION("""COMPUTED_VALUE"""),0.6041666666678793)</f>
        <v>0.6041666667</v>
      </c>
      <c r="E455" s="12">
        <f>IFERROR(__xludf.DUMMYFUNCTION("""COMPUTED_VALUE"""),0.6666666666678793)</f>
        <v>0.6666666667</v>
      </c>
      <c r="F455" s="11" t="str">
        <f>IFERROR(__xludf.DUMMYFUNCTION("""COMPUTED_VALUE"""),"PHY181.10")</f>
        <v>PHY181.10</v>
      </c>
      <c r="G455" s="11" t="str">
        <f>IFERROR(__xludf.DUMMYFUNCTION("""COMPUTED_VALUE"""),"Physics II")</f>
        <v>Physics II</v>
      </c>
      <c r="H455" s="13">
        <f>IFERROR(__xludf.DUMMYFUNCTION("""COMPUTED_VALUE"""),41.0)</f>
        <v>41</v>
      </c>
      <c r="I455" s="11" t="str">
        <f>IFERROR(__xludf.DUMMYFUNCTION("""COMPUTED_VALUE"""),"[TSR] Dr. Tanu Arefin")</f>
        <v>[TSR] Dr. Tanu Arefin</v>
      </c>
      <c r="J455" s="13">
        <f t="shared" si="1"/>
        <v>1</v>
      </c>
    </row>
    <row r="456">
      <c r="A456" s="11" t="str">
        <f>IFERROR(__xludf.DUMMYFUNCTION("""COMPUTED_VALUE"""),"C")</f>
        <v>C</v>
      </c>
      <c r="B456" s="11" t="str">
        <f>IFERROR(__xludf.DUMMYFUNCTION("""COMPUTED_VALUE"""),"Slot - 06")</f>
        <v>Slot - 06</v>
      </c>
      <c r="C456" s="11" t="str">
        <f>IFERROR(__xludf.DUMMYFUNCTION("""COMPUTED_VALUE"""),"13.04.2026")</f>
        <v>13.04.2026</v>
      </c>
      <c r="D456" s="12">
        <f>IFERROR(__xludf.DUMMYFUNCTION("""COMPUTED_VALUE"""),0.6041666666678793)</f>
        <v>0.6041666667</v>
      </c>
      <c r="E456" s="12">
        <f>IFERROR(__xludf.DUMMYFUNCTION("""COMPUTED_VALUE"""),0.6666666666678793)</f>
        <v>0.6666666667</v>
      </c>
      <c r="F456" s="11" t="str">
        <f>IFERROR(__xludf.DUMMYFUNCTION("""COMPUTED_VALUE"""),"ENG103.32")</f>
        <v>ENG103.32</v>
      </c>
      <c r="G456" s="11" t="str">
        <f>IFERROR(__xludf.DUMMYFUNCTION("""COMPUTED_VALUE"""),"Advanced English Skills")</f>
        <v>Advanced English Skills</v>
      </c>
      <c r="H456" s="13">
        <f>IFERROR(__xludf.DUMMYFUNCTION("""COMPUTED_VALUE"""),36.0)</f>
        <v>36</v>
      </c>
      <c r="I456" s="11" t="str">
        <f>IFERROR(__xludf.DUMMYFUNCTION("""COMPUTED_VALUE"""),"[TZH] Dr. Md Zakir Hossain Talukder")</f>
        <v>[TZH] Dr. Md Zakir Hossain Talukder</v>
      </c>
      <c r="J456" s="13">
        <f t="shared" si="1"/>
        <v>-1</v>
      </c>
    </row>
    <row r="457">
      <c r="A457" s="11" t="str">
        <f>IFERROR(__xludf.DUMMYFUNCTION("""COMPUTED_VALUE"""),"C")</f>
        <v>C</v>
      </c>
      <c r="B457" s="11" t="str">
        <f>IFERROR(__xludf.DUMMYFUNCTION("""COMPUTED_VALUE"""),"Slot - 06")</f>
        <v>Slot - 06</v>
      </c>
      <c r="C457" s="11" t="str">
        <f>IFERROR(__xludf.DUMMYFUNCTION("""COMPUTED_VALUE"""),"13.04.2026")</f>
        <v>13.04.2026</v>
      </c>
      <c r="D457" s="12">
        <f>IFERROR(__xludf.DUMMYFUNCTION("""COMPUTED_VALUE"""),0.6041666666678793)</f>
        <v>0.6041666667</v>
      </c>
      <c r="E457" s="12">
        <f>IFERROR(__xludf.DUMMYFUNCTION("""COMPUTED_VALUE"""),0.6666666666678793)</f>
        <v>0.6666666667</v>
      </c>
      <c r="F457" s="11" t="str">
        <f>IFERROR(__xludf.DUMMYFUNCTION("""COMPUTED_VALUE"""),"ENG103.33")</f>
        <v>ENG103.33</v>
      </c>
      <c r="G457" s="11" t="str">
        <f>IFERROR(__xludf.DUMMYFUNCTION("""COMPUTED_VALUE"""),"Advanced English Skills")</f>
        <v>Advanced English Skills</v>
      </c>
      <c r="H457" s="13">
        <f>IFERROR(__xludf.DUMMYFUNCTION("""COMPUTED_VALUE"""),40.0)</f>
        <v>40</v>
      </c>
      <c r="I457" s="11" t="str">
        <f>IFERROR(__xludf.DUMMYFUNCTION("""COMPUTED_VALUE"""),"[TZH] Dr. Md Zakir Hossain Talukder")</f>
        <v>[TZH] Dr. Md Zakir Hossain Talukder</v>
      </c>
      <c r="J457" s="13">
        <f t="shared" si="1"/>
        <v>-1</v>
      </c>
    </row>
    <row r="458">
      <c r="A458" s="11" t="str">
        <f>IFERROR(__xludf.DUMMYFUNCTION("""COMPUTED_VALUE"""),"C")</f>
        <v>C</v>
      </c>
      <c r="B458" s="11" t="str">
        <f>IFERROR(__xludf.DUMMYFUNCTION("""COMPUTED_VALUE"""),"Slot - 03")</f>
        <v>Slot - 03</v>
      </c>
      <c r="C458" s="11" t="str">
        <f>IFERROR(__xludf.DUMMYFUNCTION("""COMPUTED_VALUE"""),"12.04.2026")</f>
        <v>12.04.2026</v>
      </c>
      <c r="D458" s="12">
        <f>IFERROR(__xludf.DUMMYFUNCTION("""COMPUTED_VALUE"""),0.6041666666678793)</f>
        <v>0.6041666667</v>
      </c>
      <c r="E458" s="12">
        <f>IFERROR(__xludf.DUMMYFUNCTION("""COMPUTED_VALUE"""),0.6666666666678793)</f>
        <v>0.6666666667</v>
      </c>
      <c r="F458" s="11" t="str">
        <f>IFERROR(__xludf.DUMMYFUNCTION("""COMPUTED_VALUE"""),"ECO461.9")</f>
        <v>ECO461.9</v>
      </c>
      <c r="G458" s="11" t="str">
        <f>IFERROR(__xludf.DUMMYFUNCTION("""COMPUTED_VALUE"""),"Introduction to Economics")</f>
        <v>Introduction to Economics</v>
      </c>
      <c r="H458" s="13">
        <f>IFERROR(__xludf.DUMMYFUNCTION("""COMPUTED_VALUE"""),42.0)</f>
        <v>42</v>
      </c>
      <c r="I458" s="11" t="str">
        <f>IFERROR(__xludf.DUMMYFUNCTION("""COMPUTED_VALUE"""),"[UMHB] Umme Habiba")</f>
        <v>[UMHB] Umme Habiba</v>
      </c>
      <c r="J458" s="13">
        <f t="shared" si="1"/>
        <v>1</v>
      </c>
    </row>
    <row r="459">
      <c r="A459" s="11" t="str">
        <f>IFERROR(__xludf.DUMMYFUNCTION("""COMPUTED_VALUE"""),"C")</f>
        <v>C</v>
      </c>
      <c r="B459" s="11" t="str">
        <f>IFERROR(__xludf.DUMMYFUNCTION("""COMPUTED_VALUE"""),"Slot - 05")</f>
        <v>Slot - 05</v>
      </c>
      <c r="C459" s="11" t="str">
        <f>IFERROR(__xludf.DUMMYFUNCTION("""COMPUTED_VALUE"""),"13.04.2026")</f>
        <v>13.04.2026</v>
      </c>
      <c r="D459" s="12">
        <f>IFERROR(__xludf.DUMMYFUNCTION("""COMPUTED_VALUE"""),0.4791666666678793)</f>
        <v>0.4791666667</v>
      </c>
      <c r="E459" s="12">
        <f>IFERROR(__xludf.DUMMYFUNCTION("""COMPUTED_VALUE"""),0.5416666666678793)</f>
        <v>0.5416666667</v>
      </c>
      <c r="F459" s="11" t="str">
        <f>IFERROR(__xludf.DUMMYFUNCTION("""COMPUTED_VALUE"""),"ENG102.25")</f>
        <v>ENG102.25</v>
      </c>
      <c r="G459" s="11" t="str">
        <f>IFERROR(__xludf.DUMMYFUNCTION("""COMPUTED_VALUE"""),"Intermediate English Skills")</f>
        <v>Intermediate English Skills</v>
      </c>
      <c r="H459" s="13">
        <f>IFERROR(__xludf.DUMMYFUNCTION("""COMPUTED_VALUE"""),39.0)</f>
        <v>39</v>
      </c>
      <c r="I459" s="11" t="str">
        <f>IFERROR(__xludf.DUMMYFUNCTION("""COMPUTED_VALUE"""),"[YAF] Yasif Ahmed Faysal")</f>
        <v>[YAF] Yasif Ahmed Faysal</v>
      </c>
      <c r="J459" s="13">
        <f t="shared" si="1"/>
        <v>-1</v>
      </c>
    </row>
    <row r="460">
      <c r="A460" s="11" t="str">
        <f>IFERROR(__xludf.DUMMYFUNCTION("""COMPUTED_VALUE"""),"C")</f>
        <v>C</v>
      </c>
      <c r="B460" s="11" t="str">
        <f>IFERROR(__xludf.DUMMYFUNCTION("""COMPUTED_VALUE"""),"Slot - 05")</f>
        <v>Slot - 05</v>
      </c>
      <c r="C460" s="11" t="str">
        <f>IFERROR(__xludf.DUMMYFUNCTION("""COMPUTED_VALUE"""),"13.04.2026")</f>
        <v>13.04.2026</v>
      </c>
      <c r="D460" s="12">
        <f>IFERROR(__xludf.DUMMYFUNCTION("""COMPUTED_VALUE"""),0.4791666666678793)</f>
        <v>0.4791666667</v>
      </c>
      <c r="E460" s="12">
        <f>IFERROR(__xludf.DUMMYFUNCTION("""COMPUTED_VALUE"""),0.5416666666678793)</f>
        <v>0.5416666667</v>
      </c>
      <c r="F460" s="11" t="str">
        <f>IFERROR(__xludf.DUMMYFUNCTION("""COMPUTED_VALUE"""),"ENG102.26")</f>
        <v>ENG102.26</v>
      </c>
      <c r="G460" s="11" t="str">
        <f>IFERROR(__xludf.DUMMYFUNCTION("""COMPUTED_VALUE"""),"Intermediate English Skills")</f>
        <v>Intermediate English Skills</v>
      </c>
      <c r="H460" s="13">
        <f>IFERROR(__xludf.DUMMYFUNCTION("""COMPUTED_VALUE"""),38.0)</f>
        <v>38</v>
      </c>
      <c r="I460" s="11" t="str">
        <f>IFERROR(__xludf.DUMMYFUNCTION("""COMPUTED_VALUE"""),"[YAF] Yasif Ahmed Faysal")</f>
        <v>[YAF] Yasif Ahmed Faysal</v>
      </c>
      <c r="J460" s="13">
        <f t="shared" si="1"/>
        <v>-1</v>
      </c>
    </row>
    <row r="461">
      <c r="A461" s="11" t="str">
        <f>IFERROR(__xludf.DUMMYFUNCTION("""COMPUTED_VALUE"""),"D")</f>
        <v>D</v>
      </c>
      <c r="B461" s="11" t="str">
        <f>IFERROR(__xludf.DUMMYFUNCTION("""COMPUTED_VALUE"""),"Slot - H")</f>
        <v>Slot - H</v>
      </c>
      <c r="C461" s="11" t="str">
        <f>IFERROR(__xludf.DUMMYFUNCTION("""COMPUTED_VALUE"""),"24.04.2026")</f>
        <v>24.04.2026</v>
      </c>
      <c r="D461" s="12">
        <f>IFERROR(__xludf.DUMMYFUNCTION("""COMPUTED_VALUE"""),0.4791666666678793)</f>
        <v>0.4791666667</v>
      </c>
      <c r="E461" s="12">
        <f>IFERROR(__xludf.DUMMYFUNCTION("""COMPUTED_VALUE"""),0.5416666666678793)</f>
        <v>0.5416666667</v>
      </c>
      <c r="F461" s="11" t="str">
        <f>IFERROR(__xludf.DUMMYFUNCTION("""COMPUTED_VALUE"""),"CSE363.16")</f>
        <v>CSE363.16</v>
      </c>
      <c r="G461" s="11" t="str">
        <f>IFERROR(__xludf.DUMMYFUNCTION("""COMPUTED_VALUE"""),"Microprocessor Design &amp; Assembly Language Programming")</f>
        <v>Microprocessor Design &amp; Assembly Language Programming</v>
      </c>
      <c r="H461" s="13">
        <f>IFERROR(__xludf.DUMMYFUNCTION("""COMPUTED_VALUE"""),40.0)</f>
        <v>40</v>
      </c>
      <c r="I461" s="11" t="str">
        <f>IFERROR(__xludf.DUMMYFUNCTION("""COMPUTED_VALUE"""),"[YAM] Md. Bin Yeamin")</f>
        <v>[YAM] Md. Bin Yeamin</v>
      </c>
      <c r="J461" s="13">
        <f t="shared" si="1"/>
        <v>1</v>
      </c>
    </row>
    <row r="462">
      <c r="A462" s="11" t="str">
        <f>IFERROR(__xludf.DUMMYFUNCTION("""COMPUTED_VALUE"""),"D")</f>
        <v>D</v>
      </c>
      <c r="B462" s="11" t="str">
        <f>IFERROR(__xludf.DUMMYFUNCTION("""COMPUTED_VALUE"""),"Slot - L")</f>
        <v>Slot - L</v>
      </c>
      <c r="C462" s="11" t="str">
        <f>IFERROR(__xludf.DUMMYFUNCTION("""COMPUTED_VALUE"""),"25.04.2026")</f>
        <v>25.04.2026</v>
      </c>
      <c r="D462" s="12">
        <f>IFERROR(__xludf.DUMMYFUNCTION("""COMPUTED_VALUE"""),0.4583333333321207)</f>
        <v>0.4583333333</v>
      </c>
      <c r="E462" s="12">
        <f>IFERROR(__xludf.DUMMYFUNCTION("""COMPUTED_VALUE"""),0.5208333333321207)</f>
        <v>0.5208333333</v>
      </c>
      <c r="F462" s="11" t="str">
        <f>IFERROR(__xludf.DUMMYFUNCTION("""COMPUTED_VALUE"""),"CSE363.17")</f>
        <v>CSE363.17</v>
      </c>
      <c r="G462" s="11" t="str">
        <f>IFERROR(__xludf.DUMMYFUNCTION("""COMPUTED_VALUE"""),"Microprocessor Design &amp; Assembly Language Programming")</f>
        <v>Microprocessor Design &amp; Assembly Language Programming</v>
      </c>
      <c r="H462" s="13">
        <f>IFERROR(__xludf.DUMMYFUNCTION("""COMPUTED_VALUE"""),35.0)</f>
        <v>35</v>
      </c>
      <c r="I462" s="11" t="str">
        <f>IFERROR(__xludf.DUMMYFUNCTION("""COMPUTED_VALUE"""),"[YAM] Md. Bin Yeamin")</f>
        <v>[YAM] Md. Bin Yeamin</v>
      </c>
      <c r="J462" s="13">
        <f t="shared" si="1"/>
        <v>1</v>
      </c>
    </row>
    <row r="463">
      <c r="A463" s="11" t="str">
        <f>IFERROR(__xludf.DUMMYFUNCTION("""COMPUTED_VALUE"""),"C")</f>
        <v>C</v>
      </c>
      <c r="B463" s="11" t="str">
        <f>IFERROR(__xludf.DUMMYFUNCTION("""COMPUTED_VALUE"""),"Slot - 21")</f>
        <v>Slot - 21</v>
      </c>
      <c r="C463" s="11" t="str">
        <f>IFERROR(__xludf.DUMMYFUNCTION("""COMPUTED_VALUE"""),"20.04.2026")</f>
        <v>20.04.2026</v>
      </c>
      <c r="D463" s="12">
        <f>IFERROR(__xludf.DUMMYFUNCTION("""COMPUTED_VALUE"""),0.6041666666678793)</f>
        <v>0.6041666667</v>
      </c>
      <c r="E463" s="12">
        <f>IFERROR(__xludf.DUMMYFUNCTION("""COMPUTED_VALUE"""),0.6666666666678793)</f>
        <v>0.6666666667</v>
      </c>
      <c r="F463" s="11" t="str">
        <f>IFERROR(__xludf.DUMMYFUNCTION("""COMPUTED_VALUE"""),"CSE263.12")</f>
        <v>CSE263.12</v>
      </c>
      <c r="G463" s="11" t="str">
        <f>IFERROR(__xludf.DUMMYFUNCTION("""COMPUTED_VALUE"""),"Digital Logic Design")</f>
        <v>Digital Logic Design</v>
      </c>
      <c r="H463" s="13">
        <f>IFERROR(__xludf.DUMMYFUNCTION("""COMPUTED_VALUE"""),39.0)</f>
        <v>39</v>
      </c>
      <c r="I463" s="11" t="str">
        <f>IFERROR(__xludf.DUMMYFUNCTION("""COMPUTED_VALUE"""),"[ZAHA] Ziyan Shirin Raha")</f>
        <v>[ZAHA] Ziyan Shirin Raha</v>
      </c>
      <c r="J463" s="13">
        <f t="shared" si="1"/>
        <v>-1</v>
      </c>
    </row>
    <row r="464">
      <c r="A464" s="11" t="str">
        <f>IFERROR(__xludf.DUMMYFUNCTION("""COMPUTED_VALUE"""),"C")</f>
        <v>C</v>
      </c>
      <c r="B464" s="11" t="str">
        <f>IFERROR(__xludf.DUMMYFUNCTION("""COMPUTED_VALUE"""),"Slot - 24")</f>
        <v>Slot - 24</v>
      </c>
      <c r="C464" s="11" t="str">
        <f>IFERROR(__xludf.DUMMYFUNCTION("""COMPUTED_VALUE"""),"21.04.2026")</f>
        <v>21.04.2026</v>
      </c>
      <c r="D464" s="12">
        <f>IFERROR(__xludf.DUMMYFUNCTION("""COMPUTED_VALUE"""),0.6041666666678793)</f>
        <v>0.6041666667</v>
      </c>
      <c r="E464" s="12">
        <f>IFERROR(__xludf.DUMMYFUNCTION("""COMPUTED_VALUE"""),0.6666666666678793)</f>
        <v>0.6666666667</v>
      </c>
      <c r="F464" s="11" t="str">
        <f>IFERROR(__xludf.DUMMYFUNCTION("""COMPUTED_VALUE"""),"CSE281.11")</f>
        <v>CSE281.11</v>
      </c>
      <c r="G464" s="11" t="str">
        <f>IFERROR(__xludf.DUMMYFUNCTION("""COMPUTED_VALUE"""),"Introduction to Programming Language II (Java)")</f>
        <v>Introduction to Programming Language II (Java)</v>
      </c>
      <c r="H464" s="13">
        <f>IFERROR(__xludf.DUMMYFUNCTION("""COMPUTED_VALUE"""),41.0)</f>
        <v>41</v>
      </c>
      <c r="I464" s="11" t="str">
        <f>IFERROR(__xludf.DUMMYFUNCTION("""COMPUTED_VALUE"""),"[ZAHA] Ziyan Shirin Raha")</f>
        <v>[ZAHA] Ziyan Shirin Raha</v>
      </c>
      <c r="J464" s="13">
        <f t="shared" si="1"/>
        <v>-1</v>
      </c>
    </row>
    <row r="465">
      <c r="A465" s="11" t="str">
        <f>IFERROR(__xludf.DUMMYFUNCTION("""COMPUTED_VALUE"""),"C")</f>
        <v>C</v>
      </c>
      <c r="B465" s="11" t="str">
        <f>IFERROR(__xludf.DUMMYFUNCTION("""COMPUTED_VALUE"""),"Slot - 24")</f>
        <v>Slot - 24</v>
      </c>
      <c r="C465" s="11" t="str">
        <f>IFERROR(__xludf.DUMMYFUNCTION("""COMPUTED_VALUE"""),"21.04.2026")</f>
        <v>21.04.2026</v>
      </c>
      <c r="D465" s="12">
        <f>IFERROR(__xludf.DUMMYFUNCTION("""COMPUTED_VALUE"""),0.6041666666678793)</f>
        <v>0.6041666667</v>
      </c>
      <c r="E465" s="12">
        <f>IFERROR(__xludf.DUMMYFUNCTION("""COMPUTED_VALUE"""),0.6666666666678793)</f>
        <v>0.6666666667</v>
      </c>
      <c r="F465" s="11" t="str">
        <f>IFERROR(__xludf.DUMMYFUNCTION("""COMPUTED_VALUE"""),"CSE263.8")</f>
        <v>CSE263.8</v>
      </c>
      <c r="G465" s="11" t="str">
        <f>IFERROR(__xludf.DUMMYFUNCTION("""COMPUTED_VALUE"""),"Digital Logic Design")</f>
        <v>Digital Logic Design</v>
      </c>
      <c r="H465" s="13">
        <f>IFERROR(__xludf.DUMMYFUNCTION("""COMPUTED_VALUE"""),39.0)</f>
        <v>39</v>
      </c>
      <c r="I465" s="11" t="str">
        <f>IFERROR(__xludf.DUMMYFUNCTION("""COMPUTED_VALUE"""),"[ZAZ] Zawad Zulfiker")</f>
        <v>[ZAZ] Zawad Zulfiker</v>
      </c>
      <c r="J465" s="13">
        <f t="shared" si="1"/>
        <v>1</v>
      </c>
    </row>
    <row r="466">
      <c r="A466" s="11" t="str">
        <f>IFERROR(__xludf.DUMMYFUNCTION("""COMPUTED_VALUE"""),"C")</f>
        <v>C</v>
      </c>
      <c r="B466" s="11" t="str">
        <f>IFERROR(__xludf.DUMMYFUNCTION("""COMPUTED_VALUE"""),"Slot - 24")</f>
        <v>Slot - 24</v>
      </c>
      <c r="C466" s="11" t="str">
        <f>IFERROR(__xludf.DUMMYFUNCTION("""COMPUTED_VALUE"""),"21.04.2026")</f>
        <v>21.04.2026</v>
      </c>
      <c r="D466" s="12">
        <f>IFERROR(__xludf.DUMMYFUNCTION("""COMPUTED_VALUE"""),0.6041666666678793)</f>
        <v>0.6041666667</v>
      </c>
      <c r="E466" s="12">
        <f>IFERROR(__xludf.DUMMYFUNCTION("""COMPUTED_VALUE"""),0.6666666666678793)</f>
        <v>0.6666666667</v>
      </c>
      <c r="F466" s="11" t="str">
        <f>IFERROR(__xludf.DUMMYFUNCTION("""COMPUTED_VALUE"""),"CSE263.9")</f>
        <v>CSE263.9</v>
      </c>
      <c r="G466" s="11" t="str">
        <f>IFERROR(__xludf.DUMMYFUNCTION("""COMPUTED_VALUE"""),"Digital Logic Design")</f>
        <v>Digital Logic Design</v>
      </c>
      <c r="H466" s="13">
        <f>IFERROR(__xludf.DUMMYFUNCTION("""COMPUTED_VALUE"""),40.0)</f>
        <v>40</v>
      </c>
      <c r="I466" s="11" t="str">
        <f>IFERROR(__xludf.DUMMYFUNCTION("""COMPUTED_VALUE"""),"[ZAZ] Zawad Zulfiker")</f>
        <v>[ZAZ] Zawad Zulfiker</v>
      </c>
      <c r="J466" s="13">
        <f t="shared" si="1"/>
        <v>1</v>
      </c>
    </row>
  </sheetData>
  <autoFilter ref="$A$1:$I$466"/>
  <conditionalFormatting sqref="A2:J466">
    <cfRule type="expression" dxfId="0" priority="1">
      <formula> $J2 = 1</formula>
    </cfRule>
  </conditionalFormatting>
  <drawing r:id="rId1"/>
</worksheet>
</file>